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0" windowHeight="7060" activeTab="1"/>
  </bookViews>
  <sheets>
    <sheet name="微程序地址入口表" sheetId="1" r:id="rId1"/>
    <sheet name="微程序入口查找逻辑自动生成" sheetId="2" r:id="rId2"/>
  </sheets>
  <definedNames>
    <definedName name="_xlnm._FilterDatabase" localSheetId="0" hidden="1">微程序地址入口表!$K$2:$O$22</definedName>
    <definedName name="_xlnm._FilterDatabase" localSheetId="1" hidden="1">微程序入口查找逻辑自动生成!$A$1:$O$31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<sst xmlns="http://schemas.openxmlformats.org/spreadsheetml/2006/main" count="19" uniqueCount="17">
  <si>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</si>
  <si>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</si>
  <si>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</si>
  <si>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</si>
  <si>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</si>
  <si>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</si>
  <si>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</si>
  <si>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</si>
  <si>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ADD</t>
  </si>
  <si>
    <t>入口地址
10进制</t>
  </si>
  <si>
    <t>S4</t>
  </si>
  <si>
    <t>S3</t>
  </si>
  <si>
    <t>S2</t>
  </si>
  <si>
    <t>S1</t>
  </si>
  <si>
    <t>S0</t>
  </si>
  <si>
    <t>最小项表达式</t>
  </si>
  <si>
    <t>ADD&amp;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</si>
</sst>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b/>
      <sz val="11"/>
      <color theme="1" tint="0.349986266670736"/>
      <name val="仿宋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3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33" applyNumberFormat="0" applyAlignment="0" applyProtection="0">
      <alignment vertical="center"/>
    </xf>
    <xf numFmtId="0" fontId="23" fillId="14" borderId="34" applyNumberFormat="0" applyAlignment="0" applyProtection="0">
      <alignment vertical="center"/>
    </xf>
    <xf numFmtId="0" fontId="24" fillId="14" borderId="33" applyNumberFormat="0" applyAlignment="0" applyProtection="0">
      <alignment vertical="center"/>
    </xf>
    <xf numFmtId="0" fontId="25" fillId="15" borderId="35" applyNumberFormat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76" fontId="3" fillId="2" borderId="5" xfId="0" applyNumberFormat="1" applyFont="1" applyFill="1" applyBorder="1" applyAlignment="1">
      <alignment horizontal="center" vertical="center" shrinkToFit="1"/>
    </xf>
    <xf numFmtId="176" fontId="3" fillId="3" borderId="6" xfId="0" applyNumberFormat="1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76" fontId="4" fillId="0" borderId="11" xfId="0" applyNumberFormat="1" applyFont="1" applyBorder="1" applyAlignment="1">
      <alignment vertical="center" shrinkToFit="1"/>
    </xf>
    <xf numFmtId="176" fontId="4" fillId="4" borderId="12" xfId="0" applyNumberFormat="1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176" fontId="4" fillId="4" borderId="17" xfId="0" applyNumberFormat="1" applyFont="1" applyFill="1" applyBorder="1" applyAlignment="1">
      <alignment horizontal="center" vertical="center" shrinkToFit="1"/>
    </xf>
    <xf numFmtId="176" fontId="4" fillId="4" borderId="18" xfId="0" applyNumberFormat="1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176" fontId="6" fillId="5" borderId="21" xfId="0" applyNumberFormat="1" applyFont="1" applyFill="1" applyBorder="1" applyAlignment="1">
      <alignment horizontal="center" vertical="center" shrinkToFit="1"/>
    </xf>
    <xf numFmtId="0" fontId="4" fillId="6" borderId="0" xfId="0" applyFont="1" applyFill="1">
      <alignment vertical="center"/>
    </xf>
    <xf numFmtId="176" fontId="4" fillId="6" borderId="0" xfId="0" applyNumberFormat="1" applyFont="1" applyFill="1" applyAlignment="1">
      <alignment vertical="center" shrinkToFit="1"/>
    </xf>
    <xf numFmtId="176" fontId="6" fillId="6" borderId="0" xfId="0" applyNumberFormat="1" applyFont="1" applyFill="1" applyAlignment="1">
      <alignment vertical="center" wrapText="1" shrinkToFit="1"/>
    </xf>
    <xf numFmtId="0" fontId="3" fillId="0" borderId="0" xfId="0" applyFont="1">
      <alignment vertical="center"/>
    </xf>
    <xf numFmtId="176" fontId="7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5" xfId="0" applyFont="1" applyFill="1" applyBorder="1" applyAlignment="1">
      <alignment horizontal="center" vertical="center" shrinkToFit="1"/>
    </xf>
    <xf numFmtId="0" fontId="9" fillId="2" borderId="26" xfId="0" applyFont="1" applyFill="1" applyBorder="1" applyAlignment="1">
      <alignment horizontal="center" vertical="center" shrinkToFit="1"/>
    </xf>
    <xf numFmtId="0" fontId="10" fillId="8" borderId="27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P32"/>
  <sheetViews>
    <sheetView workbookViewId="0">
      <pane ySplit="2" topLeftCell="A3" activePane="bottomLeft" state="frozen"/>
      <selection/>
      <selection pane="bottomLeft" activeCell="R5" sqref="R5"/>
    </sheetView>
  </sheetViews>
  <sheetFormatPr defaultColWidth="9" defaultRowHeight="14"/>
  <cols>
    <col min="1" max="1" width="7.58333333333333" style="29" customWidth="1"/>
    <col min="2" max="5" width="6.58333333333333" style="29" customWidth="1"/>
    <col min="6" max="7" width="6.58333333333333" style="29" hidden="1" customWidth="1"/>
    <col min="8" max="8" width="6.5" style="29" hidden="1" customWidth="1"/>
    <col min="9" max="9" width="6.5" style="29" customWidth="1"/>
    <col min="10" max="10" width="10.3333333333333" style="29" customWidth="1"/>
    <col min="11" max="15" width="3.58333333333333" style="29" customWidth="1"/>
  </cols>
  <sheetData>
    <row r="1" ht="27" customHeight="1" spans="1:16">
      <c r="A1" s="30" t="s">
        <v>0</v>
      </c>
      <c r="B1" s="31"/>
      <c r="C1" s="31"/>
      <c r="D1" s="31"/>
      <c r="E1" s="31"/>
      <c r="F1" s="31"/>
      <c r="G1" s="31"/>
      <c r="H1" s="32"/>
      <c r="I1" s="33"/>
      <c r="J1" s="34" t="s">
        <v>1</v>
      </c>
      <c r="K1" s="35"/>
      <c r="L1" s="35"/>
      <c r="M1" s="35"/>
      <c r="N1" s="35"/>
      <c r="O1" s="36"/>
    </row>
    <row r="2" ht="28.75" spans="1:16">
      <c r="A2" s="37" t="s">
        <v>2</v>
      </c>
      <c r="B2" s="37" t="s">
        <v>3</v>
      </c>
      <c r="C2" s="37" t="s">
        <v>4</v>
      </c>
      <c r="D2" s="37" t="s">
        <v>5</v>
      </c>
      <c r="E2" s="37" t="s">
        <v>6</v>
      </c>
      <c r="F2" s="37" t="s">
        <v>7</v>
      </c>
      <c r="G2" s="37"/>
      <c r="H2" s="38"/>
      <c r="I2" s="39" t="s">
        <v>8</v>
      </c>
      <c r="J2" s="40" t="s">
        <v>9</v>
      </c>
      <c r="K2" s="41" t="s">
        <v>10</v>
      </c>
      <c r="L2" s="41" t="s">
        <v>11</v>
      </c>
      <c r="M2" s="41" t="s">
        <v>12</v>
      </c>
      <c r="N2" s="41" t="s">
        <v>13</v>
      </c>
      <c r="O2" s="42" t="s">
        <v>14</v>
      </c>
    </row>
    <row r="3" ht="18" spans="1:16">
      <c r="A3" s="43">
        <v>1</v>
      </c>
      <c r="B3" s="43"/>
      <c r="C3" s="43"/>
      <c r="D3" s="43"/>
      <c r="E3" s="43"/>
      <c r="F3" s="43"/>
      <c r="G3" s="43"/>
      <c r="H3" s="43"/>
      <c r="I3" s="43"/>
      <c r="J3" s="44">
        <v>4</v>
      </c>
      <c r="K3" s="45">
        <f>IF(ISNUMBER($J3),IF(MOD($J3,32)/16&gt;=1,1,0),"")</f>
        <v>0</v>
      </c>
      <c r="L3" s="45">
        <f>IF(ISNUMBER($J3),IF(MOD($J3,16)/8&gt;=1,1,0),"")</f>
        <v>0</v>
      </c>
      <c r="M3" s="45">
        <f>IF(ISNUMBER($J3),IF(MOD($J3,8)/4&gt;=1,1,0),"")</f>
        <v>1</v>
      </c>
      <c r="N3" s="45">
        <f>IF(ISNUMBER($J3),IF(MOD($J3,4)/2&gt;=1,1,0),"")</f>
        <v>0</v>
      </c>
      <c r="O3" s="45">
        <f>IF(ISNUMBER($J3),MOD($J3,2),"")</f>
        <v>0</v>
      </c>
    </row>
    <row r="4" ht="18" spans="1:16">
      <c r="A4" s="46"/>
      <c r="B4" s="46">
        <v>1</v>
      </c>
      <c r="C4" s="46"/>
      <c r="D4" s="46"/>
      <c r="E4" s="46"/>
      <c r="F4" s="46"/>
      <c r="G4" s="46"/>
      <c r="H4" s="46"/>
      <c r="I4" s="46"/>
      <c r="J4" s="47">
        <v>9</v>
      </c>
      <c r="K4" s="48">
        <f t="shared" ref="K4:K31" si="0">IF(ISNUMBER($J4),IF(MOD($J4,32)/16&gt;=1,1,0),"")</f>
        <v>0</v>
      </c>
      <c r="L4" s="48">
        <f t="shared" ref="L4:L31" si="1">IF(ISNUMBER($J4),IF(MOD($J4,16)/8&gt;=1,1,0),"")</f>
        <v>1</v>
      </c>
      <c r="M4" s="48">
        <f t="shared" ref="M4:M31" si="2">IF(ISNUMBER($J4),IF(MOD($J4,8)/4&gt;=1,1,0),"")</f>
        <v>0</v>
      </c>
      <c r="N4" s="48">
        <f t="shared" ref="N4:N5" si="3">IF(ISNUMBER($J4),IF(MOD($J4,4)/2&gt;=1,1,0),"")</f>
        <v>0</v>
      </c>
      <c r="O4" s="48">
        <f t="shared" ref="O4:O31" si="4">IF(ISNUMBER($J4),MOD($J4,2),"")</f>
        <v>1</v>
      </c>
    </row>
    <row r="5" ht="18" spans="1:16">
      <c r="A5" s="43"/>
      <c r="B5" s="43"/>
      <c r="C5" s="43">
        <v>1</v>
      </c>
      <c r="D5" s="43"/>
      <c r="E5" s="43"/>
      <c r="F5" s="43"/>
      <c r="G5" s="43"/>
      <c r="H5" s="43"/>
      <c r="I5" s="43"/>
      <c r="J5" s="44">
        <v>14</v>
      </c>
      <c r="K5" s="45">
        <f t="shared" si="0"/>
        <v>0</v>
      </c>
      <c r="L5" s="45">
        <f t="shared" si="1"/>
        <v>1</v>
      </c>
      <c r="M5" s="45">
        <f t="shared" si="2"/>
        <v>1</v>
      </c>
      <c r="N5" s="45">
        <f t="shared" si="3"/>
        <v>1</v>
      </c>
      <c r="O5" s="45">
        <f t="shared" si="4"/>
        <v>0</v>
      </c>
    </row>
    <row r="6" ht="18" spans="1:16">
      <c r="A6" s="46"/>
      <c r="B6" s="46"/>
      <c r="C6" s="46"/>
      <c r="D6" s="46">
        <v>1</v>
      </c>
      <c r="E6" s="46"/>
      <c r="F6" s="46"/>
      <c r="G6" s="46"/>
      <c r="H6" s="46"/>
      <c r="I6" s="46"/>
      <c r="J6" s="47">
        <v>19</v>
      </c>
      <c r="K6" s="48">
        <f t="shared" si="0"/>
        <v>1</v>
      </c>
      <c r="L6" s="48">
        <f t="shared" si="1"/>
        <v>0</v>
      </c>
      <c r="M6" s="48">
        <f t="shared" si="2"/>
        <v>0</v>
      </c>
      <c r="N6" s="48">
        <f t="shared" ref="N6:N31" si="5">IF(ISNUMBER($J6),IF(MOD($J6,4)/2&gt;=1,1,0),"")</f>
        <v>1</v>
      </c>
      <c r="O6" s="48">
        <f t="shared" si="4"/>
        <v>1</v>
      </c>
    </row>
    <row r="7" ht="18" spans="1:16">
      <c r="A7" s="43"/>
      <c r="B7" s="43"/>
      <c r="C7" s="43"/>
      <c r="D7" s="43"/>
      <c r="E7" s="43">
        <v>1</v>
      </c>
      <c r="F7" s="43"/>
      <c r="G7" s="43"/>
      <c r="H7" s="43"/>
      <c r="I7" s="43"/>
      <c r="J7" s="44">
        <v>22</v>
      </c>
      <c r="K7" s="45">
        <f t="shared" si="0"/>
        <v>1</v>
      </c>
      <c r="L7" s="45">
        <f t="shared" si="1"/>
        <v>0</v>
      </c>
      <c r="M7" s="45">
        <f t="shared" si="2"/>
        <v>1</v>
      </c>
      <c r="N7" s="45">
        <f t="shared" si="5"/>
        <v>1</v>
      </c>
      <c r="O7" s="45">
        <f t="shared" si="4"/>
        <v>0</v>
      </c>
    </row>
    <row r="8" ht="18" spans="1:16">
      <c r="A8" s="46"/>
      <c r="B8" s="46"/>
      <c r="C8" s="46"/>
      <c r="D8" s="46"/>
      <c r="E8" s="46"/>
      <c r="F8" s="46"/>
      <c r="G8" s="46"/>
      <c r="H8" s="46"/>
      <c r="I8" s="46">
        <v>1</v>
      </c>
      <c r="J8" s="47">
        <v>25</v>
      </c>
      <c r="K8" s="48">
        <f t="shared" si="0"/>
        <v>1</v>
      </c>
      <c r="L8" s="48">
        <f t="shared" si="1"/>
        <v>1</v>
      </c>
      <c r="M8" s="48">
        <f t="shared" si="2"/>
        <v>0</v>
      </c>
      <c r="N8" s="48">
        <f t="shared" si="5"/>
        <v>0</v>
      </c>
      <c r="O8" s="48">
        <f t="shared" si="4"/>
        <v>1</v>
      </c>
    </row>
    <row r="9" ht="17.25" spans="1:16">
      <c r="A9" s="49"/>
      <c r="B9" s="49"/>
      <c r="C9" s="49"/>
      <c r="D9" s="49"/>
      <c r="E9" s="49"/>
      <c r="F9" s="49"/>
      <c r="G9" s="49"/>
      <c r="H9" s="49"/>
      <c r="I9" s="49"/>
      <c r="J9" s="50"/>
      <c r="K9" s="51" t="str">
        <f t="shared" si="0"/>
        <v/>
      </c>
      <c r="L9" s="51" t="str">
        <f t="shared" si="1"/>
        <v/>
      </c>
      <c r="M9" s="51" t="str">
        <f t="shared" si="2"/>
        <v/>
      </c>
      <c r="N9" s="51" t="str">
        <f t="shared" si="5"/>
        <v/>
      </c>
      <c r="O9" s="51" t="str">
        <f t="shared" si="4"/>
        <v/>
      </c>
      <c r="P9" s="52"/>
    </row>
    <row r="10" ht="16.5" spans="1:16">
      <c r="A10" s="49"/>
      <c r="B10" s="49"/>
      <c r="C10" s="49"/>
      <c r="D10" s="49"/>
      <c r="E10" s="49"/>
      <c r="F10" s="49"/>
      <c r="G10" s="49"/>
      <c r="H10" s="49"/>
      <c r="I10" s="49"/>
      <c r="J10" s="50"/>
      <c r="K10" s="51" t="str">
        <f t="shared" si="0"/>
        <v/>
      </c>
      <c r="L10" s="51" t="str">
        <f t="shared" si="1"/>
        <v/>
      </c>
      <c r="M10" s="51" t="str">
        <f t="shared" si="2"/>
        <v/>
      </c>
      <c r="N10" s="51" t="str">
        <f t="shared" si="5"/>
        <v/>
      </c>
      <c r="O10" s="51" t="str">
        <f t="shared" si="4"/>
        <v/>
      </c>
      <c r="P10" s="52"/>
    </row>
    <row r="11" ht="16.5" spans="1:16">
      <c r="A11" s="49"/>
      <c r="B11" s="49"/>
      <c r="C11" s="49"/>
      <c r="D11" s="49"/>
      <c r="E11" s="49"/>
      <c r="F11" s="49"/>
      <c r="G11" s="49"/>
      <c r="H11" s="49"/>
      <c r="I11" s="49"/>
      <c r="J11" s="50"/>
      <c r="K11" s="51" t="str">
        <f t="shared" si="0"/>
        <v/>
      </c>
      <c r="L11" s="51" t="str">
        <f t="shared" si="1"/>
        <v/>
      </c>
      <c r="M11" s="51" t="str">
        <f t="shared" si="2"/>
        <v/>
      </c>
      <c r="N11" s="51" t="str">
        <f t="shared" si="5"/>
        <v/>
      </c>
      <c r="O11" s="51" t="str">
        <f t="shared" si="4"/>
        <v/>
      </c>
      <c r="P11" s="52"/>
    </row>
    <row r="12" ht="16.5" spans="1:16">
      <c r="A12" s="49"/>
      <c r="B12" s="49"/>
      <c r="C12" s="49"/>
      <c r="D12" s="49"/>
      <c r="E12" s="49"/>
      <c r="F12" s="49"/>
      <c r="G12" s="49"/>
      <c r="H12" s="49"/>
      <c r="I12" s="49"/>
      <c r="J12" s="50"/>
      <c r="K12" s="51" t="str">
        <f t="shared" si="0"/>
        <v/>
      </c>
      <c r="L12" s="51" t="str">
        <f t="shared" si="1"/>
        <v/>
      </c>
      <c r="M12" s="51" t="str">
        <f t="shared" si="2"/>
        <v/>
      </c>
      <c r="N12" s="51" t="str">
        <f t="shared" si="5"/>
        <v/>
      </c>
      <c r="O12" s="51" t="str">
        <f t="shared" si="4"/>
        <v/>
      </c>
      <c r="P12" s="52"/>
    </row>
    <row r="13" ht="16.5" spans="1:16">
      <c r="A13" s="49"/>
      <c r="B13" s="49"/>
      <c r="C13" s="49"/>
      <c r="D13" s="49"/>
      <c r="E13" s="49"/>
      <c r="F13" s="49"/>
      <c r="G13" s="49"/>
      <c r="H13" s="49"/>
      <c r="I13" s="49"/>
      <c r="J13" s="50"/>
      <c r="K13" s="51" t="str">
        <f t="shared" si="0"/>
        <v/>
      </c>
      <c r="L13" s="51" t="str">
        <f t="shared" si="1"/>
        <v/>
      </c>
      <c r="M13" s="51" t="str">
        <f t="shared" si="2"/>
        <v/>
      </c>
      <c r="N13" s="51" t="str">
        <f t="shared" si="5"/>
        <v/>
      </c>
      <c r="O13" s="51" t="str">
        <f t="shared" si="4"/>
        <v/>
      </c>
      <c r="P13" s="52"/>
    </row>
    <row r="14" ht="16.5" spans="1:16">
      <c r="A14" s="49"/>
      <c r="B14" s="49"/>
      <c r="C14" s="49"/>
      <c r="D14" s="49"/>
      <c r="E14" s="49"/>
      <c r="F14" s="49"/>
      <c r="G14" s="49"/>
      <c r="H14" s="49"/>
      <c r="I14" s="49"/>
      <c r="J14" s="50"/>
      <c r="K14" s="51" t="str">
        <f t="shared" si="0"/>
        <v/>
      </c>
      <c r="L14" s="51" t="str">
        <f t="shared" si="1"/>
        <v/>
      </c>
      <c r="M14" s="51" t="str">
        <f t="shared" si="2"/>
        <v/>
      </c>
      <c r="N14" s="51" t="str">
        <f t="shared" si="5"/>
        <v/>
      </c>
      <c r="O14" s="51" t="str">
        <f t="shared" si="4"/>
        <v/>
      </c>
      <c r="P14" s="52"/>
    </row>
    <row r="15" ht="16.5" spans="1:16">
      <c r="A15" s="49"/>
      <c r="B15" s="49"/>
      <c r="C15" s="49"/>
      <c r="D15" s="49"/>
      <c r="E15" s="49"/>
      <c r="F15" s="49"/>
      <c r="G15" s="49"/>
      <c r="H15" s="49"/>
      <c r="I15" s="49"/>
      <c r="J15" s="50"/>
      <c r="K15" s="51" t="str">
        <f t="shared" si="0"/>
        <v/>
      </c>
      <c r="L15" s="51" t="str">
        <f t="shared" si="1"/>
        <v/>
      </c>
      <c r="M15" s="51" t="str">
        <f t="shared" si="2"/>
        <v/>
      </c>
      <c r="N15" s="51" t="str">
        <f t="shared" si="5"/>
        <v/>
      </c>
      <c r="O15" s="51" t="str">
        <f t="shared" si="4"/>
        <v/>
      </c>
      <c r="P15" s="52"/>
    </row>
    <row r="16" ht="16.5" hidden="1" spans="1:16">
      <c r="A16" s="49"/>
      <c r="B16" s="49"/>
      <c r="C16" s="49"/>
      <c r="D16" s="49"/>
      <c r="E16" s="49"/>
      <c r="F16" s="49"/>
      <c r="G16" s="49"/>
      <c r="H16" s="49"/>
      <c r="I16" s="49"/>
      <c r="J16" s="50"/>
      <c r="K16" s="51" t="str">
        <f t="shared" si="0"/>
        <v/>
      </c>
      <c r="L16" s="51" t="str">
        <f t="shared" si="1"/>
        <v/>
      </c>
      <c r="M16" s="51" t="str">
        <f t="shared" si="2"/>
        <v/>
      </c>
      <c r="N16" s="51" t="str">
        <f t="shared" si="5"/>
        <v/>
      </c>
      <c r="O16" s="51" t="str">
        <f t="shared" si="4"/>
        <v/>
      </c>
      <c r="P16" s="52"/>
    </row>
    <row r="17" ht="16.5" hidden="1" spans="1:16">
      <c r="A17" s="49"/>
      <c r="B17" s="49"/>
      <c r="C17" s="49"/>
      <c r="D17" s="49"/>
      <c r="E17" s="49"/>
      <c r="F17" s="49"/>
      <c r="G17" s="49"/>
      <c r="H17" s="49"/>
      <c r="I17" s="49"/>
      <c r="J17" s="50"/>
      <c r="K17" s="51" t="str">
        <f t="shared" si="0"/>
        <v/>
      </c>
      <c r="L17" s="51" t="str">
        <f t="shared" si="1"/>
        <v/>
      </c>
      <c r="M17" s="51" t="str">
        <f t="shared" si="2"/>
        <v/>
      </c>
      <c r="N17" s="51" t="str">
        <f t="shared" si="5"/>
        <v/>
      </c>
      <c r="O17" s="51" t="str">
        <f t="shared" si="4"/>
        <v/>
      </c>
      <c r="P17" s="52"/>
    </row>
    <row r="18" ht="16.5" hidden="1" spans="1:16">
      <c r="A18" s="49"/>
      <c r="B18" s="49"/>
      <c r="C18" s="49"/>
      <c r="D18" s="49"/>
      <c r="E18" s="49"/>
      <c r="F18" s="49"/>
      <c r="G18" s="49"/>
      <c r="H18" s="49"/>
      <c r="I18" s="49"/>
      <c r="J18" s="50"/>
      <c r="K18" s="51" t="str">
        <f t="shared" si="0"/>
        <v/>
      </c>
      <c r="L18" s="51" t="str">
        <f t="shared" si="1"/>
        <v/>
      </c>
      <c r="M18" s="51" t="str">
        <f t="shared" si="2"/>
        <v/>
      </c>
      <c r="N18" s="51" t="str">
        <f t="shared" si="5"/>
        <v/>
      </c>
      <c r="O18" s="51" t="str">
        <f t="shared" si="4"/>
        <v/>
      </c>
      <c r="P18" s="52"/>
    </row>
    <row r="19" ht="16.5" hidden="1" spans="1:16">
      <c r="A19" s="49"/>
      <c r="B19" s="49"/>
      <c r="C19" s="49"/>
      <c r="D19" s="49"/>
      <c r="E19" s="49"/>
      <c r="F19" s="49"/>
      <c r="G19" s="49"/>
      <c r="H19" s="49"/>
      <c r="I19" s="49"/>
      <c r="J19" s="50"/>
      <c r="K19" s="51" t="str">
        <f t="shared" si="0"/>
        <v/>
      </c>
      <c r="L19" s="51" t="str">
        <f t="shared" si="1"/>
        <v/>
      </c>
      <c r="M19" s="51" t="str">
        <f t="shared" si="2"/>
        <v/>
      </c>
      <c r="N19" s="51" t="str">
        <f t="shared" si="5"/>
        <v/>
      </c>
      <c r="O19" s="51" t="str">
        <f t="shared" si="4"/>
        <v/>
      </c>
      <c r="P19" s="52"/>
    </row>
    <row r="20" ht="16.5" hidden="1" spans="1:16">
      <c r="A20" s="49"/>
      <c r="B20" s="49"/>
      <c r="C20" s="49"/>
      <c r="D20" s="49"/>
      <c r="E20" s="49"/>
      <c r="F20" s="49"/>
      <c r="G20" s="49"/>
      <c r="H20" s="49"/>
      <c r="I20" s="49"/>
      <c r="J20" s="50"/>
      <c r="K20" s="51" t="str">
        <f t="shared" si="0"/>
        <v/>
      </c>
      <c r="L20" s="51" t="str">
        <f t="shared" si="1"/>
        <v/>
      </c>
      <c r="M20" s="51" t="str">
        <f t="shared" si="2"/>
        <v/>
      </c>
      <c r="N20" s="51" t="str">
        <f t="shared" si="5"/>
        <v/>
      </c>
      <c r="O20" s="51" t="str">
        <f t="shared" si="4"/>
        <v/>
      </c>
      <c r="P20" s="52"/>
    </row>
    <row r="21" ht="16.5" hidden="1" spans="1:16">
      <c r="A21" s="49"/>
      <c r="B21" s="49"/>
      <c r="C21" s="49"/>
      <c r="D21" s="49"/>
      <c r="E21" s="49"/>
      <c r="F21" s="49"/>
      <c r="G21" s="49"/>
      <c r="H21" s="49"/>
      <c r="I21" s="49"/>
      <c r="J21" s="50"/>
      <c r="K21" s="51" t="str">
        <f t="shared" si="0"/>
        <v/>
      </c>
      <c r="L21" s="51" t="str">
        <f t="shared" si="1"/>
        <v/>
      </c>
      <c r="M21" s="51" t="str">
        <f t="shared" si="2"/>
        <v/>
      </c>
      <c r="N21" s="51" t="str">
        <f t="shared" si="5"/>
        <v/>
      </c>
      <c r="O21" s="51" t="str">
        <f t="shared" si="4"/>
        <v/>
      </c>
      <c r="P21" s="52"/>
    </row>
    <row r="22" ht="16.5" hidden="1" spans="1:16">
      <c r="A22" s="49"/>
      <c r="B22" s="49"/>
      <c r="C22" s="49"/>
      <c r="D22" s="49"/>
      <c r="E22" s="49"/>
      <c r="F22" s="49"/>
      <c r="G22" s="49"/>
      <c r="H22" s="49"/>
      <c r="I22" s="49"/>
      <c r="J22" s="50"/>
      <c r="K22" s="51" t="str">
        <f t="shared" si="0"/>
        <v/>
      </c>
      <c r="L22" s="51" t="str">
        <f t="shared" si="1"/>
        <v/>
      </c>
      <c r="M22" s="51" t="str">
        <f t="shared" si="2"/>
        <v/>
      </c>
      <c r="N22" s="51" t="str">
        <f t="shared" si="5"/>
        <v/>
      </c>
      <c r="O22" s="51" t="str">
        <f t="shared" si="4"/>
        <v/>
      </c>
      <c r="P22" s="52"/>
    </row>
    <row r="23" ht="16.5" hidden="1" spans="1:16">
      <c r="A23" s="49"/>
      <c r="B23" s="49"/>
      <c r="C23" s="49"/>
      <c r="D23" s="49"/>
      <c r="E23" s="49"/>
      <c r="F23" s="49"/>
      <c r="G23" s="49"/>
      <c r="H23" s="49"/>
      <c r="I23" s="49"/>
      <c r="J23" s="50"/>
      <c r="K23" s="51" t="str">
        <f t="shared" si="0"/>
        <v/>
      </c>
      <c r="L23" s="51" t="str">
        <f t="shared" si="1"/>
        <v/>
      </c>
      <c r="M23" s="51" t="str">
        <f t="shared" si="2"/>
        <v/>
      </c>
      <c r="N23" s="51" t="str">
        <f t="shared" si="5"/>
        <v/>
      </c>
      <c r="O23" s="51" t="str">
        <f t="shared" si="4"/>
        <v/>
      </c>
      <c r="P23" s="52"/>
    </row>
    <row r="24" ht="16.5" hidden="1" spans="1:16">
      <c r="A24" s="49"/>
      <c r="B24" s="49"/>
      <c r="C24" s="49"/>
      <c r="D24" s="49"/>
      <c r="E24" s="49"/>
      <c r="F24" s="49"/>
      <c r="G24" s="49"/>
      <c r="H24" s="49"/>
      <c r="I24" s="49"/>
      <c r="J24" s="50"/>
      <c r="K24" s="51" t="str">
        <f t="shared" si="0"/>
        <v/>
      </c>
      <c r="L24" s="51" t="str">
        <f t="shared" si="1"/>
        <v/>
      </c>
      <c r="M24" s="51" t="str">
        <f t="shared" si="2"/>
        <v/>
      </c>
      <c r="N24" s="51" t="str">
        <f t="shared" si="5"/>
        <v/>
      </c>
      <c r="O24" s="51" t="str">
        <f t="shared" si="4"/>
        <v/>
      </c>
      <c r="P24" s="52"/>
    </row>
    <row r="25" ht="16.5" hidden="1" spans="1:16">
      <c r="A25" s="49"/>
      <c r="B25" s="49"/>
      <c r="C25" s="49"/>
      <c r="D25" s="49"/>
      <c r="E25" s="49"/>
      <c r="F25" s="49"/>
      <c r="G25" s="49"/>
      <c r="H25" s="49"/>
      <c r="I25" s="49"/>
      <c r="J25" s="50"/>
      <c r="K25" s="51" t="str">
        <f t="shared" si="0"/>
        <v/>
      </c>
      <c r="L25" s="51" t="str">
        <f t="shared" si="1"/>
        <v/>
      </c>
      <c r="M25" s="51" t="str">
        <f t="shared" si="2"/>
        <v/>
      </c>
      <c r="N25" s="51" t="str">
        <f t="shared" si="5"/>
        <v/>
      </c>
      <c r="O25" s="51" t="str">
        <f t="shared" si="4"/>
        <v/>
      </c>
      <c r="P25" s="52"/>
    </row>
    <row r="26" ht="16.5" hidden="1" spans="1:16">
      <c r="A26" s="49"/>
      <c r="B26" s="49"/>
      <c r="C26" s="49"/>
      <c r="D26" s="49"/>
      <c r="E26" s="49"/>
      <c r="F26" s="49"/>
      <c r="G26" s="49"/>
      <c r="H26" s="49"/>
      <c r="I26" s="49"/>
      <c r="J26" s="50"/>
      <c r="K26" s="51" t="str">
        <f t="shared" si="0"/>
        <v/>
      </c>
      <c r="L26" s="51" t="str">
        <f t="shared" si="1"/>
        <v/>
      </c>
      <c r="M26" s="51" t="str">
        <f t="shared" si="2"/>
        <v/>
      </c>
      <c r="N26" s="51" t="str">
        <f t="shared" si="5"/>
        <v/>
      </c>
      <c r="O26" s="51" t="str">
        <f t="shared" si="4"/>
        <v/>
      </c>
      <c r="P26" s="52"/>
    </row>
    <row r="27" ht="16.5" hidden="1" spans="1:16">
      <c r="A27" s="49"/>
      <c r="B27" s="49"/>
      <c r="C27" s="49"/>
      <c r="D27" s="49"/>
      <c r="E27" s="49"/>
      <c r="F27" s="49"/>
      <c r="G27" s="49"/>
      <c r="H27" s="49"/>
      <c r="I27" s="49"/>
      <c r="J27" s="50"/>
      <c r="K27" s="51" t="str">
        <f t="shared" si="0"/>
        <v/>
      </c>
      <c r="L27" s="51" t="str">
        <f t="shared" si="1"/>
        <v/>
      </c>
      <c r="M27" s="51" t="str">
        <f t="shared" si="2"/>
        <v/>
      </c>
      <c r="N27" s="51" t="str">
        <f t="shared" si="5"/>
        <v/>
      </c>
      <c r="O27" s="51" t="str">
        <f t="shared" si="4"/>
        <v/>
      </c>
      <c r="P27" s="52"/>
    </row>
    <row r="28" ht="16.5" hidden="1" spans="1:16">
      <c r="A28" s="49"/>
      <c r="B28" s="49"/>
      <c r="C28" s="49"/>
      <c r="D28" s="49"/>
      <c r="E28" s="49"/>
      <c r="F28" s="49"/>
      <c r="G28" s="49"/>
      <c r="H28" s="49"/>
      <c r="I28" s="49"/>
      <c r="J28" s="50"/>
      <c r="K28" s="51" t="str">
        <f t="shared" si="0"/>
        <v/>
      </c>
      <c r="L28" s="51" t="str">
        <f t="shared" si="1"/>
        <v/>
      </c>
      <c r="M28" s="51" t="str">
        <f t="shared" si="2"/>
        <v/>
      </c>
      <c r="N28" s="51" t="str">
        <f t="shared" si="5"/>
        <v/>
      </c>
      <c r="O28" s="51" t="str">
        <f t="shared" si="4"/>
        <v/>
      </c>
      <c r="P28" s="52"/>
    </row>
    <row r="29" ht="16.5" hidden="1" spans="1:16">
      <c r="A29" s="49"/>
      <c r="B29" s="49"/>
      <c r="C29" s="49"/>
      <c r="D29" s="49"/>
      <c r="E29" s="49"/>
      <c r="F29" s="49"/>
      <c r="G29" s="49"/>
      <c r="H29" s="49"/>
      <c r="I29" s="49"/>
      <c r="J29" s="50"/>
      <c r="K29" s="51" t="str">
        <f t="shared" si="0"/>
        <v/>
      </c>
      <c r="L29" s="51" t="str">
        <f t="shared" si="1"/>
        <v/>
      </c>
      <c r="M29" s="51" t="str">
        <f t="shared" si="2"/>
        <v/>
      </c>
      <c r="N29" s="51" t="str">
        <f t="shared" si="5"/>
        <v/>
      </c>
      <c r="O29" s="51" t="str">
        <f t="shared" si="4"/>
        <v/>
      </c>
      <c r="P29" s="52"/>
    </row>
    <row r="30" ht="16.5" hidden="1" spans="1:16">
      <c r="A30" s="49"/>
      <c r="B30" s="49"/>
      <c r="C30" s="49"/>
      <c r="D30" s="49"/>
      <c r="E30" s="49"/>
      <c r="F30" s="49"/>
      <c r="G30" s="49"/>
      <c r="H30" s="49"/>
      <c r="I30" s="49"/>
      <c r="J30" s="50"/>
      <c r="K30" s="51" t="str">
        <f t="shared" si="0"/>
        <v/>
      </c>
      <c r="L30" s="51" t="str">
        <f t="shared" si="1"/>
        <v/>
      </c>
      <c r="M30" s="51" t="str">
        <f t="shared" si="2"/>
        <v/>
      </c>
      <c r="N30" s="51" t="str">
        <f t="shared" si="5"/>
        <v/>
      </c>
      <c r="O30" s="51" t="str">
        <f t="shared" si="4"/>
        <v/>
      </c>
      <c r="P30" s="52"/>
    </row>
    <row r="31" ht="16.5" hidden="1" spans="1:16">
      <c r="A31" s="49"/>
      <c r="B31" s="49"/>
      <c r="C31" s="49"/>
      <c r="D31" s="49"/>
      <c r="E31" s="49"/>
      <c r="F31" s="49"/>
      <c r="G31" s="49"/>
      <c r="H31" s="49"/>
      <c r="I31" s="49"/>
      <c r="J31" s="50"/>
      <c r="K31" s="51" t="str">
        <f t="shared" si="0"/>
        <v/>
      </c>
      <c r="L31" s="51" t="str">
        <f t="shared" si="1"/>
        <v/>
      </c>
      <c r="M31" s="51" t="str">
        <f t="shared" si="2"/>
        <v/>
      </c>
      <c r="N31" s="51" t="str">
        <f t="shared" si="5"/>
        <v/>
      </c>
      <c r="O31" s="51" t="str">
        <f t="shared" si="4"/>
        <v/>
      </c>
      <c r="P31" s="52"/>
    </row>
    <row r="32" ht="16.5" spans="1:16">
      <c r="A32" s="49"/>
      <c r="B32" s="49"/>
      <c r="C32" s="49"/>
      <c r="D32" s="49"/>
      <c r="E32" s="49"/>
      <c r="F32" s="49"/>
      <c r="G32" s="49"/>
      <c r="H32" s="49"/>
      <c r="I32" s="49"/>
      <c r="J32" s="53"/>
      <c r="K32" s="53"/>
      <c r="L32" s="53"/>
      <c r="M32" s="53"/>
      <c r="N32" s="53"/>
      <c r="O32" s="53"/>
      <c r="P32" s="52"/>
    </row>
  </sheetData>
  <protectedRanges>
    <protectedRange sqref="A$1:J$1048576" name="区域2"/>
  </protectedRanges>
  <mergeCells count="3">
    <mergeCell ref="A1:H1"/>
    <mergeCell ref="J1:O1"/>
    <mergeCell ref="A32:H32"/>
  </mergeCells>
  <conditionalFormatting sqref="A3:I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K32:O1048576">
    <cfRule type="containsText" dxfId="2" priority="13" operator="between" text="1">
      <formula>NOT(ISERROR(SEARCH("1",K32)))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 A33:I1048576"/>
    <dataValidation allowBlank="1" showInputMessage="1" showErrorMessage="1" promptTitle="次态10进制" prompt="次态10进制，方便大家输入，输入十进制后会自动计算二进制N3N2N1N0" sqref="J$1:J$1048576"/>
    <dataValidation allowBlank="1" showInputMessage="1" showErrorMessage="1" promptTitle="次态输出" prompt="次态二进制表示，由前列10进制自动计算，不可修改" sqref="K32:O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I31"/>
    <dataValidation allowBlank="1" showInputMessage="1" showErrorMessage="1" promptTitle="入口地址二进制信息" prompt="入口地址二进制信息，由前列10进制自动计算，不可修改" sqref="K2:O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O36"/>
  <sheetViews>
    <sheetView tabSelected="1" zoomScale="130" zoomScaleNormal="130" workbookViewId="0">
      <selection activeCell="J10" sqref="J10"/>
    </sheetView>
  </sheetViews>
  <sheetFormatPr defaultColWidth="9" defaultRowHeight="14"/>
  <cols>
    <col min="1" max="5" width="4.58333333333333" customWidth="1"/>
    <col min="6" max="8" width="4.58333333333333" hidden="1" customWidth="1"/>
    <col min="9" max="9" width="4.58333333333333" customWidth="1"/>
    <col min="10" max="10" width="13.25" style="2" customWidth="1"/>
    <col min="11" max="12" width="10.5" style="2" customWidth="1"/>
    <col min="13" max="13" width="9.5" style="2" customWidth="1"/>
    <col min="14" max="14" width="10.0833333333333" style="2" customWidth="1"/>
    <col min="15" max="15" width="11.0833333333333" style="2" customWidth="1"/>
  </cols>
  <sheetData>
    <row r="1" s="1" customFormat="1" ht="17.25" spans="1:15">
      <c r="A1" s="3" t="str">
        <f>微程序地址入口表!A2</f>
        <v>LW</v>
      </c>
      <c r="B1" s="4" t="str">
        <f>微程序地址入口表!B2</f>
        <v>SW</v>
      </c>
      <c r="C1" s="4" t="str">
        <f>微程序地址入口表!C2</f>
        <v>BEQ</v>
      </c>
      <c r="D1" s="4" t="str">
        <f>微程序地址入口表!D2</f>
        <v>SLT</v>
      </c>
      <c r="E1" s="4" t="str">
        <f>微程序地址入口表!E2</f>
        <v>ADDI</v>
      </c>
      <c r="F1" s="4" t="str">
        <f>微程序地址入口表!F2</f>
        <v>ERET</v>
      </c>
      <c r="G1" s="4">
        <f>微程序地址入口表!G2</f>
        <v>0</v>
      </c>
      <c r="H1" s="5">
        <f>微程序地址入口表!H2</f>
        <v>0</v>
      </c>
      <c r="I1" s="6" t="s">
        <v>8</v>
      </c>
      <c r="J1" s="7" t="s">
        <v>15</v>
      </c>
      <c r="K1" s="8" t="str">
        <f>微程序地址入口表!K2</f>
        <v>S4</v>
      </c>
      <c r="L1" s="8" t="str">
        <f>微程序地址入口表!L2</f>
        <v>S3</v>
      </c>
      <c r="M1" s="8" t="str">
        <f>微程序地址入口表!M2</f>
        <v>S2</v>
      </c>
      <c r="N1" s="8" t="str">
        <f>微程序地址入口表!N2</f>
        <v>S1</v>
      </c>
      <c r="O1" s="8" t="str">
        <f>微程序地址入口表!O2</f>
        <v>S0</v>
      </c>
    </row>
    <row r="2" ht="14.75" spans="1:15">
      <c r="A2" s="9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10" t="str">
        <f>IF(微程序地址入口表!B3&lt;&gt;"",IF(微程序地址入口表!B3=1,微程序地址入口表!B$2&amp;"&amp;",IF(微程序地址入口表!B3=0,"~"&amp;微程序地址入口表!B$2&amp;"&amp;","")),"")</f>
        <v/>
      </c>
      <c r="C2" s="10" t="str">
        <f>IF(微程序地址入口表!C3&lt;&gt;"",IF(微程序地址入口表!C3=1,微程序地址入口表!C$2&amp;"&amp;",IF(微程序地址入口表!C3=0,"~"&amp;微程序地址入口表!C$2&amp;"&amp;","")),"")</f>
        <v/>
      </c>
      <c r="D2" s="10" t="str">
        <f>IF(微程序地址入口表!D3&lt;&gt;"",IF(微程序地址入口表!D3=1,微程序地址入口表!D$2&amp;"&amp;",IF(微程序地址入口表!D3=0,"~"&amp;微程序地址入口表!D$2&amp;"&amp;","")),"")</f>
        <v/>
      </c>
      <c r="E2" s="10" t="str">
        <f>IF(微程序地址入口表!E3&lt;&gt;"",IF(微程序地址入口表!E3=1,微程序地址入口表!E$2&amp;"&amp;",IF(微程序地址入口表!E3=0,"~"&amp;微程序地址入口表!E$2&amp;"&amp;","")),"")</f>
        <v/>
      </c>
      <c r="F2" s="10" t="str">
        <f>IF(微程序地址入口表!F3&lt;&gt;"",IF(微程序地址入口表!F3=1,微程序地址入口表!F$2&amp;"&amp;",IF(微程序地址入口表!F3=0,"~"&amp;微程序地址入口表!F$2&amp;"&amp;","")),"")</f>
        <v/>
      </c>
      <c r="G2" s="10" t="str">
        <f>IF(微程序地址入口表!G3&lt;&gt;"",IF(微程序地址入口表!G3=1,微程序地址入口表!G$2&amp;"&amp;",IF(微程序地址入口表!G3=0,"~"&amp;微程序地址入口表!G$2&amp;"&amp;","")),"")</f>
        <v/>
      </c>
      <c r="H2" s="11" t="str">
        <f>IF(微程序地址入口表!H3&lt;&gt;"",IF(微程序地址入口表!H3=1,微程序地址入口表!H$2&amp;"&amp;",IF(微程序地址入口表!H3=0,"~"&amp;微程序地址入口表!H$2&amp;"&amp;","")),"")</f>
        <v/>
      </c>
      <c r="I2" s="12"/>
      <c r="J2" s="13" t="str">
        <f>IF(LEN(CONCATENATE(A2,B2,C2,D2,E2,F2,G2,H2))=0,"",LEFT(CONCATENATE(A2,B2,C2,D2,E2,F2,G2,H2),LEN(CONCATENATE(A2,B2,C2,D2,E2,F2,G2,H2))-1))</f>
        <v>LW</v>
      </c>
      <c r="K2" s="14" t="str">
        <f>IF(微程序地址入口表!K3=1,$J2&amp;"+","")</f>
        <v/>
      </c>
      <c r="L2" s="14" t="str">
        <f>IF(微程序地址入口表!L3=1,$J2&amp;"+","")</f>
        <v/>
      </c>
      <c r="M2" s="14" t="str">
        <f>IF(微程序地址入口表!M3=1,$J2&amp;"+","")</f>
        <v>LW+</v>
      </c>
      <c r="N2" s="14" t="str">
        <f>IF(微程序地址入口表!N3=1,$J2&amp;"+","")</f>
        <v/>
      </c>
      <c r="O2" s="14" t="str">
        <f>IF(微程序地址入口表!O3=1,$J2&amp;"+","")</f>
        <v/>
      </c>
    </row>
    <row r="3" spans="1:15">
      <c r="A3" s="15" t="str">
        <f>IF(微程序地址入口表!A4&lt;&gt;"",IF(微程序地址入口表!A4=1,微程序地址入口表!A$2&amp;"&amp;",IF(微程序地址入口表!A4=0,"~"&amp;微程序地址入口表!A$2&amp;"&amp;","")),"")</f>
        <v/>
      </c>
      <c r="B3" s="16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16" t="str">
        <f>IF(微程序地址入口表!C4&lt;&gt;"",IF(微程序地址入口表!C4=1,微程序地址入口表!C$2&amp;"&amp;",IF(微程序地址入口表!C4=0,"~"&amp;微程序地址入口表!C$2&amp;"&amp;","")),"")</f>
        <v/>
      </c>
      <c r="D3" s="16" t="str">
        <f>IF(微程序地址入口表!D4&lt;&gt;"",IF(微程序地址入口表!D4=1,微程序地址入口表!D$2&amp;"&amp;",IF(微程序地址入口表!D4=0,"~"&amp;微程序地址入口表!D$2&amp;"&amp;","")),"")</f>
        <v/>
      </c>
      <c r="E3" s="16" t="str">
        <f>IF(微程序地址入口表!E4&lt;&gt;"",IF(微程序地址入口表!E4=1,微程序地址入口表!E$2&amp;"&amp;",IF(微程序地址入口表!E4=0,"~"&amp;微程序地址入口表!E$2&amp;"&amp;","")),"")</f>
        <v/>
      </c>
      <c r="F3" s="16" t="str">
        <f>IF(微程序地址入口表!F4&lt;&gt;"",IF(微程序地址入口表!F4=1,微程序地址入口表!F$2&amp;"&amp;",IF(微程序地址入口表!F4=0,"~"&amp;微程序地址入口表!F$2&amp;"&amp;","")),"")</f>
        <v/>
      </c>
      <c r="G3" s="16" t="str">
        <f>IF(微程序地址入口表!G4&lt;&gt;"",IF(微程序地址入口表!G4=1,微程序地址入口表!G$2&amp;"&amp;",IF(微程序地址入口表!G4=0,"~"&amp;微程序地址入口表!G$2&amp;"&amp;","")),"")</f>
        <v/>
      </c>
      <c r="H3" s="17" t="str">
        <f>IF(微程序地址入口表!H4&lt;&gt;"",IF(微程序地址入口表!H4=1,微程序地址入口表!H$2&amp;"&amp;",IF(微程序地址入口表!H4=0,"~"&amp;微程序地址入口表!H$2&amp;"&amp;","")),"")</f>
        <v/>
      </c>
      <c r="I3" s="18"/>
      <c r="J3" s="13" t="str">
        <f t="shared" ref="J3:J30" si="0">IF(LEN(CONCATENATE(A3,B3,C3,D3,E3,F3,G3,H3))=0,"",LEFT(CONCATENATE(A3,B3,C3,D3,E3,F3,G3,H3),LEN(CONCATENATE(A3,B3,C3,D3,E3,F3,G3,H3))-1))</f>
        <v>SW</v>
      </c>
      <c r="K3" s="19" t="str">
        <f>IF(微程序地址入口表!K4=1,$J3&amp;"+","")</f>
        <v/>
      </c>
      <c r="L3" s="14" t="str">
        <f>IF(微程序地址入口表!L4=1,$J3&amp;"+","")</f>
        <v>SW+</v>
      </c>
      <c r="M3" s="19" t="str">
        <f>IF(微程序地址入口表!M4=1,$J3&amp;"+","")</f>
        <v/>
      </c>
      <c r="N3" s="19" t="str">
        <f>IF(微程序地址入口表!N4=1,$J3&amp;"+","")</f>
        <v/>
      </c>
      <c r="O3" s="19" t="str">
        <f>IF(微程序地址入口表!O4=1,$J3&amp;"+","")</f>
        <v>SW+</v>
      </c>
    </row>
    <row r="4" spans="1:15">
      <c r="A4" s="15" t="str">
        <f>IF(微程序地址入口表!A5&lt;&gt;"",IF(微程序地址入口表!A5=1,微程序地址入口表!A$2&amp;"&amp;",IF(微程序地址入口表!A5=0,"~"&amp;微程序地址入口表!A$2&amp;"&amp;","")),"")</f>
        <v/>
      </c>
      <c r="B4" s="16" t="str">
        <f>IF(微程序地址入口表!B5&lt;&gt;"",IF(微程序地址入口表!B5=1,微程序地址入口表!B$2&amp;"&amp;",IF(微程序地址入口表!B5=0,"~"&amp;微程序地址入口表!B$2&amp;"&amp;","")),"")</f>
        <v/>
      </c>
      <c r="C4" s="16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16" t="str">
        <f>IF(微程序地址入口表!D5&lt;&gt;"",IF(微程序地址入口表!D5=1,微程序地址入口表!D$2&amp;"&amp;",IF(微程序地址入口表!D5=0,"~"&amp;微程序地址入口表!D$2&amp;"&amp;","")),"")</f>
        <v/>
      </c>
      <c r="E4" s="16" t="str">
        <f>IF(微程序地址入口表!E5&lt;&gt;"",IF(微程序地址入口表!E5=1,微程序地址入口表!E$2&amp;"&amp;",IF(微程序地址入口表!E5=0,"~"&amp;微程序地址入口表!E$2&amp;"&amp;","")),"")</f>
        <v/>
      </c>
      <c r="F4" s="16" t="str">
        <f>IF(微程序地址入口表!F5&lt;&gt;"",IF(微程序地址入口表!F5=1,微程序地址入口表!F$2&amp;"&amp;",IF(微程序地址入口表!F5=0,"~"&amp;微程序地址入口表!F$2&amp;"&amp;","")),"")</f>
        <v/>
      </c>
      <c r="G4" s="16" t="str">
        <f>IF(微程序地址入口表!G5&lt;&gt;"",IF(微程序地址入口表!G5=1,微程序地址入口表!G$2&amp;"&amp;",IF(微程序地址入口表!G5=0,"~"&amp;微程序地址入口表!G$2&amp;"&amp;","")),"")</f>
        <v/>
      </c>
      <c r="H4" s="17" t="str">
        <f>IF(微程序地址入口表!H5&lt;&gt;"",IF(微程序地址入口表!H5=1,微程序地址入口表!H$2&amp;"&amp;",IF(微程序地址入口表!H5=0,"~"&amp;微程序地址入口表!H$2&amp;"&amp;","")),"")</f>
        <v/>
      </c>
      <c r="I4" s="18"/>
      <c r="J4" s="13" t="str">
        <f t="shared" si="0"/>
        <v>BEQ</v>
      </c>
      <c r="K4" s="19" t="str">
        <f>IF(微程序地址入口表!K5=1,$J4&amp;"+","")</f>
        <v/>
      </c>
      <c r="L4" s="14" t="str">
        <f>IF(微程序地址入口表!L5=1,$J4&amp;"+","")</f>
        <v>BEQ+</v>
      </c>
      <c r="M4" s="19" t="str">
        <f>IF(微程序地址入口表!M5=1,$J4&amp;"+","")</f>
        <v>BEQ+</v>
      </c>
      <c r="N4" s="19" t="str">
        <f>IF(微程序地址入口表!N5=1,$J4&amp;"+","")</f>
        <v>BEQ+</v>
      </c>
      <c r="O4" s="19" t="str">
        <f>IF(微程序地址入口表!O5=1,$J4&amp;"+","")</f>
        <v/>
      </c>
    </row>
    <row r="5" spans="1:15">
      <c r="A5" s="15" t="str">
        <f>IF(微程序地址入口表!A6&lt;&gt;"",IF(微程序地址入口表!A6=1,微程序地址入口表!A$2&amp;"&amp;",IF(微程序地址入口表!A6=0,"~"&amp;微程序地址入口表!A$2&amp;"&amp;","")),"")</f>
        <v/>
      </c>
      <c r="B5" s="16" t="str">
        <f>IF(微程序地址入口表!B6&lt;&gt;"",IF(微程序地址入口表!B6=1,微程序地址入口表!B$2&amp;"&amp;",IF(微程序地址入口表!B6=0,"~"&amp;微程序地址入口表!B$2&amp;"&amp;","")),"")</f>
        <v/>
      </c>
      <c r="C5" s="16" t="str">
        <f>IF(微程序地址入口表!C6&lt;&gt;"",IF(微程序地址入口表!C6=1,微程序地址入口表!C$2&amp;"&amp;",IF(微程序地址入口表!C6=0,"~"&amp;微程序地址入口表!C$2&amp;"&amp;","")),"")</f>
        <v/>
      </c>
      <c r="D5" s="16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16" t="str">
        <f>IF(微程序地址入口表!E6&lt;&gt;"",IF(微程序地址入口表!E6=1,微程序地址入口表!E$2&amp;"&amp;",IF(微程序地址入口表!E6=0,"~"&amp;微程序地址入口表!E$2&amp;"&amp;","")),"")</f>
        <v/>
      </c>
      <c r="F5" s="16" t="str">
        <f>IF(微程序地址入口表!F6&lt;&gt;"",IF(微程序地址入口表!F6=1,微程序地址入口表!F$2&amp;"&amp;",IF(微程序地址入口表!F6=0,"~"&amp;微程序地址入口表!F$2&amp;"&amp;","")),"")</f>
        <v/>
      </c>
      <c r="G5" s="16" t="str">
        <f>IF(微程序地址入口表!G6&lt;&gt;"",IF(微程序地址入口表!G6=1,微程序地址入口表!G$2&amp;"&amp;",IF(微程序地址入口表!G6=0,"~"&amp;微程序地址入口表!G$2&amp;"&amp;","")),"")</f>
        <v/>
      </c>
      <c r="H5" s="17" t="str">
        <f>IF(微程序地址入口表!H6&lt;&gt;"",IF(微程序地址入口表!H6=1,微程序地址入口表!H$2&amp;"&amp;",IF(微程序地址入口表!H6=0,"~"&amp;微程序地址入口表!H$2&amp;"&amp;","")),"")</f>
        <v/>
      </c>
      <c r="I5" s="18"/>
      <c r="J5" s="13" t="str">
        <f t="shared" si="0"/>
        <v>SLT</v>
      </c>
      <c r="K5" s="19" t="str">
        <f>IF(微程序地址入口表!K6=1,$J5&amp;"+","")</f>
        <v>SLT+</v>
      </c>
      <c r="L5" s="14" t="str">
        <f>IF(微程序地址入口表!L6=1,$J5&amp;"+","")</f>
        <v/>
      </c>
      <c r="M5" s="19" t="str">
        <f>IF(微程序地址入口表!M6=1,$J5&amp;"+","")</f>
        <v/>
      </c>
      <c r="N5" s="19" t="str">
        <f>IF(微程序地址入口表!N6=1,$J5&amp;"+","")</f>
        <v>SLT+</v>
      </c>
      <c r="O5" s="19" t="str">
        <f>IF(微程序地址入口表!O6=1,$J5&amp;"+","")</f>
        <v>SLT+</v>
      </c>
    </row>
    <row r="6" spans="1:15">
      <c r="A6" s="15" t="str">
        <f>IF(微程序地址入口表!A7&lt;&gt;"",IF(微程序地址入口表!A7=1,微程序地址入口表!A$2&amp;"&amp;",IF(微程序地址入口表!A7=0,"~"&amp;微程序地址入口表!A$2&amp;"&amp;","")),"")</f>
        <v/>
      </c>
      <c r="B6" s="16" t="str">
        <f>IF(微程序地址入口表!B7&lt;&gt;"",IF(微程序地址入口表!B7=1,微程序地址入口表!B$2&amp;"&amp;",IF(微程序地址入口表!B7=0,"~"&amp;微程序地址入口表!B$2&amp;"&amp;","")),"")</f>
        <v/>
      </c>
      <c r="C6" s="16" t="str">
        <f>IF(微程序地址入口表!C7&lt;&gt;"",IF(微程序地址入口表!C7=1,微程序地址入口表!C$2&amp;"&amp;",IF(微程序地址入口表!C7=0,"~"&amp;微程序地址入口表!C$2&amp;"&amp;","")),"")</f>
        <v/>
      </c>
      <c r="D6" s="16" t="str">
        <f>IF(微程序地址入口表!D7&lt;&gt;"",IF(微程序地址入口表!D7=1,微程序地址入口表!D$2&amp;"&amp;",IF(微程序地址入口表!D7=0,"~"&amp;微程序地址入口表!D$2&amp;"&amp;","")),"")</f>
        <v/>
      </c>
      <c r="E6" s="16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16" t="str">
        <f>IF(微程序地址入口表!F7&lt;&gt;"",IF(微程序地址入口表!F7=1,微程序地址入口表!F$2&amp;"&amp;",IF(微程序地址入口表!F7=0,"~"&amp;微程序地址入口表!F$2&amp;"&amp;","")),"")</f>
        <v/>
      </c>
      <c r="G6" s="16" t="str">
        <f>IF(微程序地址入口表!G7&lt;&gt;"",IF(微程序地址入口表!G7=1,微程序地址入口表!G$2&amp;"&amp;",IF(微程序地址入口表!G7=0,"~"&amp;微程序地址入口表!G$2&amp;"&amp;","")),"")</f>
        <v/>
      </c>
      <c r="H6" s="17" t="str">
        <f>IF(微程序地址入口表!H7&lt;&gt;"",IF(微程序地址入口表!H7=1,微程序地址入口表!H$2&amp;"&amp;",IF(微程序地址入口表!H7=0,"~"&amp;微程序地址入口表!H$2&amp;"&amp;","")),"")</f>
        <v/>
      </c>
      <c r="I6" s="18"/>
      <c r="J6" s="13" t="str">
        <f t="shared" si="0"/>
        <v>ADDI</v>
      </c>
      <c r="K6" s="19" t="str">
        <f>IF(微程序地址入口表!K7=1,$J6&amp;"+","")</f>
        <v>ADDI+</v>
      </c>
      <c r="L6" s="14" t="str">
        <f>IF(微程序地址入口表!L7=1,$J6&amp;"+","")</f>
        <v/>
      </c>
      <c r="M6" s="19" t="str">
        <f>IF(微程序地址入口表!M7=1,$J6&amp;"+","")</f>
        <v>ADDI+</v>
      </c>
      <c r="N6" s="19" t="str">
        <f>IF(微程序地址入口表!N7=1,$J6&amp;"+","")</f>
        <v>ADDI+</v>
      </c>
      <c r="O6" s="19" t="str">
        <f>IF(微程序地址入口表!O7=1,$J6&amp;"+","")</f>
        <v/>
      </c>
    </row>
    <row r="7" spans="1:15">
      <c r="A7" s="15" t="str">
        <f>IF(微程序地址入口表!A8&lt;&gt;"",IF(微程序地址入口表!A8=1,微程序地址入口表!A$2&amp;"&amp;",IF(微程序地址入口表!A8=0,"~"&amp;微程序地址入口表!A$2&amp;"&amp;","")),"")</f>
        <v/>
      </c>
      <c r="B7" s="16" t="str">
        <f>IF(微程序地址入口表!B8&lt;&gt;"",IF(微程序地址入口表!B8=1,微程序地址入口表!B$2&amp;"&amp;",IF(微程序地址入口表!B8=0,"~"&amp;微程序地址入口表!B$2&amp;"&amp;","")),"")</f>
        <v/>
      </c>
      <c r="C7" s="16" t="str">
        <f>IF(微程序地址入口表!C8&lt;&gt;"",IF(微程序地址入口表!C8=1,微程序地址入口表!C$2&amp;"&amp;",IF(微程序地址入口表!C8=0,"~"&amp;微程序地址入口表!C$2&amp;"&amp;","")),"")</f>
        <v/>
      </c>
      <c r="D7" s="16" t="str">
        <f>IF(微程序地址入口表!D8&lt;&gt;"",IF(微程序地址入口表!D8=1,微程序地址入口表!D$2&amp;"&amp;",IF(微程序地址入口表!D8=0,"~"&amp;微程序地址入口表!D$2&amp;"&amp;","")),"")</f>
        <v/>
      </c>
      <c r="E7" s="16" t="str">
        <f>IF(微程序地址入口表!E8&lt;&gt;"",IF(微程序地址入口表!E8=1,微程序地址入口表!E$2&amp;"&amp;",IF(微程序地址入口表!E8=0,"~"&amp;微程序地址入口表!E$2&amp;"&amp;","")),"")</f>
        <v/>
      </c>
      <c r="F7" s="16" t="str">
        <f>IF(微程序地址入口表!F8&lt;&gt;"",IF(微程序地址入口表!F8=1,微程序地址入口表!F$2&amp;"&amp;",IF(微程序地址入口表!F8=0,"~"&amp;微程序地址入口表!F$2&amp;"&amp;","")),"")</f>
        <v/>
      </c>
      <c r="G7" s="16" t="str">
        <f>IF(微程序地址入口表!G8&lt;&gt;"",IF(微程序地址入口表!G8=1,微程序地址入口表!G$2&amp;"&amp;",IF(微程序地址入口表!G8=0,"~"&amp;微程序地址入口表!G$2&amp;"&amp;","")),"")</f>
        <v/>
      </c>
      <c r="H7" s="17" t="str">
        <f>IF(微程序地址入口表!H8&lt;&gt;"",IF(微程序地址入口表!H8=1,微程序地址入口表!H$2&amp;"&amp;",IF(微程序地址入口表!H8=0,"~"&amp;微程序地址入口表!H$2&amp;"&amp;","")),"")</f>
        <v/>
      </c>
      <c r="I7" s="18" t="s">
        <v>16</v>
      </c>
      <c r="J7" s="13" t="s">
        <v>8</v>
      </c>
      <c r="K7" s="19" t="str">
        <f>IF(微程序地址入口表!K8=1,$J7&amp;"+","")</f>
        <v>ADD+</v>
      </c>
      <c r="L7" s="14" t="str">
        <f>IF(微程序地址入口表!L8=1,$J7&amp;"+","")</f>
        <v>ADD+</v>
      </c>
      <c r="M7" s="19" t="str">
        <f>IF(微程序地址入口表!M8=1,$J7&amp;"+","")</f>
        <v/>
      </c>
      <c r="N7" s="19" t="str">
        <f>IF(微程序地址入口表!N8=1,$J7&amp;"+","")</f>
        <v/>
      </c>
      <c r="O7" s="19" t="str">
        <f>IF(微程序地址入口表!O8=1,$J7&amp;"+","")</f>
        <v>ADD+</v>
      </c>
    </row>
    <row r="8" spans="1:15">
      <c r="A8" s="15" t="str">
        <f>IF(微程序地址入口表!A9&lt;&gt;"",IF(微程序地址入口表!A9=1,微程序地址入口表!A$2&amp;"&amp;",IF(微程序地址入口表!A9=0,"~"&amp;微程序地址入口表!A$2&amp;"&amp;","")),"")</f>
        <v/>
      </c>
      <c r="B8" s="16" t="str">
        <f>IF(微程序地址入口表!B9&lt;&gt;"",IF(微程序地址入口表!B9=1,微程序地址入口表!B$2&amp;"&amp;",IF(微程序地址入口表!B9=0,"~"&amp;微程序地址入口表!B$2&amp;"&amp;","")),"")</f>
        <v/>
      </c>
      <c r="C8" s="16" t="str">
        <f>IF(微程序地址入口表!C9&lt;&gt;"",IF(微程序地址入口表!C9=1,微程序地址入口表!C$2&amp;"&amp;",IF(微程序地址入口表!C9=0,"~"&amp;微程序地址入口表!C$2&amp;"&amp;","")),"")</f>
        <v/>
      </c>
      <c r="D8" s="16" t="str">
        <f>IF(微程序地址入口表!D9&lt;&gt;"",IF(微程序地址入口表!D9=1,微程序地址入口表!D$2&amp;"&amp;",IF(微程序地址入口表!D9=0,"~"&amp;微程序地址入口表!D$2&amp;"&amp;","")),"")</f>
        <v/>
      </c>
      <c r="E8" s="16" t="str">
        <f>IF(微程序地址入口表!E9&lt;&gt;"",IF(微程序地址入口表!E9=1,微程序地址入口表!E$2&amp;"&amp;",IF(微程序地址入口表!E9=0,"~"&amp;微程序地址入口表!E$2&amp;"&amp;","")),"")</f>
        <v/>
      </c>
      <c r="F8" s="16" t="str">
        <f>IF(微程序地址入口表!F9&lt;&gt;"",IF(微程序地址入口表!F9=1,微程序地址入口表!F$2&amp;"&amp;",IF(微程序地址入口表!F9=0,"~"&amp;微程序地址入口表!F$2&amp;"&amp;","")),"")</f>
        <v/>
      </c>
      <c r="G8" s="16" t="str">
        <f>IF(微程序地址入口表!G9&lt;&gt;"",IF(微程序地址入口表!G9=1,微程序地址入口表!G$2&amp;"&amp;",IF(微程序地址入口表!G9=0,"~"&amp;微程序地址入口表!G$2&amp;"&amp;","")),"")</f>
        <v/>
      </c>
      <c r="H8" s="17" t="str">
        <f>IF(微程序地址入口表!H9&lt;&gt;"",IF(微程序地址入口表!H9=1,微程序地址入口表!H$2&amp;"&amp;",IF(微程序地址入口表!H9=0,"~"&amp;微程序地址入口表!H$2&amp;"&amp;","")),"")</f>
        <v/>
      </c>
      <c r="I8" s="18"/>
      <c r="J8" s="13" t="str">
        <f t="shared" si="0"/>
        <v/>
      </c>
      <c r="K8" s="19" t="str">
        <f>IF(微程序地址入口表!K9=1,$J8&amp;"+","")</f>
        <v/>
      </c>
      <c r="L8" s="14" t="str">
        <f>IF(微程序地址入口表!L9=1,$J8&amp;"+","")</f>
        <v/>
      </c>
      <c r="M8" s="19" t="str">
        <f>IF(微程序地址入口表!M9=1,$J8&amp;"+","")</f>
        <v/>
      </c>
      <c r="N8" s="19" t="str">
        <f>IF(微程序地址入口表!N9=1,$J8&amp;"+","")</f>
        <v/>
      </c>
      <c r="O8" s="19" t="str">
        <f>IF(微程序地址入口表!O9=1,$J8&amp;"+","")</f>
        <v/>
      </c>
    </row>
    <row r="9" spans="1:15">
      <c r="A9" s="15" t="str">
        <f>IF(微程序地址入口表!A10&lt;&gt;"",IF(微程序地址入口表!A10=1,微程序地址入口表!A$2&amp;"&amp;",IF(微程序地址入口表!A10=0,"~"&amp;微程序地址入口表!A$2&amp;"&amp;","")),"")</f>
        <v/>
      </c>
      <c r="B9" s="16" t="str">
        <f>IF(微程序地址入口表!B10&lt;&gt;"",IF(微程序地址入口表!B10=1,微程序地址入口表!B$2&amp;"&amp;",IF(微程序地址入口表!B10=0,"~"&amp;微程序地址入口表!B$2&amp;"&amp;","")),"")</f>
        <v/>
      </c>
      <c r="C9" s="16" t="str">
        <f>IF(微程序地址入口表!C10&lt;&gt;"",IF(微程序地址入口表!C10=1,微程序地址入口表!C$2&amp;"&amp;",IF(微程序地址入口表!C10=0,"~"&amp;微程序地址入口表!C$2&amp;"&amp;","")),"")</f>
        <v/>
      </c>
      <c r="D9" s="16" t="str">
        <f>IF(微程序地址入口表!D10&lt;&gt;"",IF(微程序地址入口表!D10=1,微程序地址入口表!D$2&amp;"&amp;",IF(微程序地址入口表!D10=0,"~"&amp;微程序地址入口表!D$2&amp;"&amp;","")),"")</f>
        <v/>
      </c>
      <c r="E9" s="16" t="str">
        <f>IF(微程序地址入口表!E10&lt;&gt;"",IF(微程序地址入口表!E10=1,微程序地址入口表!E$2&amp;"&amp;",IF(微程序地址入口表!E10=0,"~"&amp;微程序地址入口表!E$2&amp;"&amp;","")),"")</f>
        <v/>
      </c>
      <c r="F9" s="16" t="str">
        <f>IF(微程序地址入口表!F10&lt;&gt;"",IF(微程序地址入口表!F10=1,微程序地址入口表!F$2&amp;"&amp;",IF(微程序地址入口表!F10=0,"~"&amp;微程序地址入口表!F$2&amp;"&amp;","")),"")</f>
        <v/>
      </c>
      <c r="G9" s="16" t="str">
        <f>IF(微程序地址入口表!G10&lt;&gt;"",IF(微程序地址入口表!G10=1,微程序地址入口表!G$2&amp;"&amp;",IF(微程序地址入口表!G10=0,"~"&amp;微程序地址入口表!G$2&amp;"&amp;","")),"")</f>
        <v/>
      </c>
      <c r="H9" s="17" t="str">
        <f>IF(微程序地址入口表!H10&lt;&gt;"",IF(微程序地址入口表!H10=1,微程序地址入口表!H$2&amp;"&amp;",IF(微程序地址入口表!H10=0,"~"&amp;微程序地址入口表!H$2&amp;"&amp;","")),"")</f>
        <v/>
      </c>
      <c r="I9" s="18"/>
      <c r="J9" s="13" t="str">
        <f t="shared" si="0"/>
        <v/>
      </c>
      <c r="K9" s="19" t="str">
        <f>IF(微程序地址入口表!K10=1,$J9&amp;"+","")</f>
        <v/>
      </c>
      <c r="L9" s="14" t="str">
        <f>IF(微程序地址入口表!L10=1,$J9&amp;"+","")</f>
        <v/>
      </c>
      <c r="M9" s="19" t="str">
        <f>IF(微程序地址入口表!M10=1,$J9&amp;"+","")</f>
        <v/>
      </c>
      <c r="N9" s="19" t="str">
        <f>IF(微程序地址入口表!N10=1,$J9&amp;"+","")</f>
        <v/>
      </c>
      <c r="O9" s="19" t="str">
        <f>IF(微程序地址入口表!O10=1,$J9&amp;"+","")</f>
        <v/>
      </c>
    </row>
    <row r="10" spans="1:15">
      <c r="A10" s="15" t="str">
        <f>IF(微程序地址入口表!A11&lt;&gt;"",IF(微程序地址入口表!A11=1,微程序地址入口表!A$2&amp;"&amp;",IF(微程序地址入口表!A11=0,"~"&amp;微程序地址入口表!A$2&amp;"&amp;","")),"")</f>
        <v/>
      </c>
      <c r="B10" s="16" t="str">
        <f>IF(微程序地址入口表!B11&lt;&gt;"",IF(微程序地址入口表!B11=1,微程序地址入口表!B$2&amp;"&amp;",IF(微程序地址入口表!B11=0,"~"&amp;微程序地址入口表!B$2&amp;"&amp;","")),"")</f>
        <v/>
      </c>
      <c r="C10" s="16" t="str">
        <f>IF(微程序地址入口表!C11&lt;&gt;"",IF(微程序地址入口表!C11=1,微程序地址入口表!C$2&amp;"&amp;",IF(微程序地址入口表!C11=0,"~"&amp;微程序地址入口表!C$2&amp;"&amp;","")),"")</f>
        <v/>
      </c>
      <c r="D10" s="16" t="str">
        <f>IF(微程序地址入口表!D11&lt;&gt;"",IF(微程序地址入口表!D11=1,微程序地址入口表!D$2&amp;"&amp;",IF(微程序地址入口表!D11=0,"~"&amp;微程序地址入口表!D$2&amp;"&amp;","")),"")</f>
        <v/>
      </c>
      <c r="E10" s="16" t="str">
        <f>IF(微程序地址入口表!E11&lt;&gt;"",IF(微程序地址入口表!E11=1,微程序地址入口表!E$2&amp;"&amp;",IF(微程序地址入口表!E11=0,"~"&amp;微程序地址入口表!E$2&amp;"&amp;","")),"")</f>
        <v/>
      </c>
      <c r="F10" s="16" t="str">
        <f>IF(微程序地址入口表!F11&lt;&gt;"",IF(微程序地址入口表!F11=1,微程序地址入口表!F$2&amp;"&amp;",IF(微程序地址入口表!F11=0,"~"&amp;微程序地址入口表!F$2&amp;"&amp;","")),"")</f>
        <v/>
      </c>
      <c r="G10" s="16" t="str">
        <f>IF(微程序地址入口表!G11&lt;&gt;"",IF(微程序地址入口表!G11=1,微程序地址入口表!G$2&amp;"&amp;",IF(微程序地址入口表!G11=0,"~"&amp;微程序地址入口表!G$2&amp;"&amp;","")),"")</f>
        <v/>
      </c>
      <c r="H10" s="17" t="str">
        <f>IF(微程序地址入口表!H11&lt;&gt;"",IF(微程序地址入口表!H11=1,微程序地址入口表!H$2&amp;"&amp;",IF(微程序地址入口表!H11=0,"~"&amp;微程序地址入口表!H$2&amp;"&amp;","")),"")</f>
        <v/>
      </c>
      <c r="I10" s="18"/>
      <c r="J10" s="13" t="str">
        <f t="shared" si="0"/>
        <v/>
      </c>
      <c r="K10" s="19" t="str">
        <f>IF(微程序地址入口表!K11=1,$J10&amp;"+","")</f>
        <v/>
      </c>
      <c r="L10" s="14" t="str">
        <f>IF(微程序地址入口表!L11=1,$J10&amp;"+","")</f>
        <v/>
      </c>
      <c r="M10" s="19" t="str">
        <f>IF(微程序地址入口表!M11=1,$J10&amp;"+","")</f>
        <v/>
      </c>
      <c r="N10" s="19" t="str">
        <f>IF(微程序地址入口表!N11=1,$J10&amp;"+","")</f>
        <v/>
      </c>
      <c r="O10" s="19" t="str">
        <f>IF(微程序地址入口表!O11=1,$J10&amp;"+","")</f>
        <v/>
      </c>
    </row>
    <row r="11" spans="1:15">
      <c r="A11" s="15" t="str">
        <f>IF(微程序地址入口表!A12&lt;&gt;"",IF(微程序地址入口表!A12=1,微程序地址入口表!A$2&amp;"&amp;",IF(微程序地址入口表!A12=0,"~"&amp;微程序地址入口表!A$2&amp;"&amp;","")),"")</f>
        <v/>
      </c>
      <c r="B11" s="16" t="str">
        <f>IF(微程序地址入口表!B12&lt;&gt;"",IF(微程序地址入口表!B12=1,微程序地址入口表!B$2&amp;"&amp;",IF(微程序地址入口表!B12=0,"~"&amp;微程序地址入口表!B$2&amp;"&amp;","")),"")</f>
        <v/>
      </c>
      <c r="C11" s="16" t="str">
        <f>IF(微程序地址入口表!C12&lt;&gt;"",IF(微程序地址入口表!C12=1,微程序地址入口表!C$2&amp;"&amp;",IF(微程序地址入口表!C12=0,"~"&amp;微程序地址入口表!C$2&amp;"&amp;","")),"")</f>
        <v/>
      </c>
      <c r="D11" s="16" t="str">
        <f>IF(微程序地址入口表!D12&lt;&gt;"",IF(微程序地址入口表!D12=1,微程序地址入口表!D$2&amp;"&amp;",IF(微程序地址入口表!D12=0,"~"&amp;微程序地址入口表!D$2&amp;"&amp;","")),"")</f>
        <v/>
      </c>
      <c r="E11" s="16" t="str">
        <f>IF(微程序地址入口表!E12&lt;&gt;"",IF(微程序地址入口表!E12=1,微程序地址入口表!E$2&amp;"&amp;",IF(微程序地址入口表!E12=0,"~"&amp;微程序地址入口表!E$2&amp;"&amp;","")),"")</f>
        <v/>
      </c>
      <c r="F11" s="16" t="str">
        <f>IF(微程序地址入口表!F12&lt;&gt;"",IF(微程序地址入口表!F12=1,微程序地址入口表!F$2&amp;"&amp;",IF(微程序地址入口表!F12=0,"~"&amp;微程序地址入口表!F$2&amp;"&amp;","")),"")</f>
        <v/>
      </c>
      <c r="G11" s="16" t="str">
        <f>IF(微程序地址入口表!G12&lt;&gt;"",IF(微程序地址入口表!G12=1,微程序地址入口表!G$2&amp;"&amp;",IF(微程序地址入口表!G12=0,"~"&amp;微程序地址入口表!G$2&amp;"&amp;","")),"")</f>
        <v/>
      </c>
      <c r="H11" s="17" t="str">
        <f>IF(微程序地址入口表!H12&lt;&gt;"",IF(微程序地址入口表!H12=1,微程序地址入口表!H$2&amp;"&amp;",IF(微程序地址入口表!H12=0,"~"&amp;微程序地址入口表!H$2&amp;"&amp;","")),"")</f>
        <v/>
      </c>
      <c r="I11" s="18"/>
      <c r="J11" s="13" t="str">
        <f t="shared" si="0"/>
        <v/>
      </c>
      <c r="K11" s="19" t="str">
        <f>IF(微程序地址入口表!K12=1,$J11&amp;"+","")</f>
        <v/>
      </c>
      <c r="L11" s="14" t="str">
        <f>IF(微程序地址入口表!L12=1,$J11&amp;"+","")</f>
        <v/>
      </c>
      <c r="M11" s="19" t="str">
        <f>IF(微程序地址入口表!M12=1,$J11&amp;"+","")</f>
        <v/>
      </c>
      <c r="N11" s="19" t="str">
        <f>IF(微程序地址入口表!N12=1,$J11&amp;"+","")</f>
        <v/>
      </c>
      <c r="O11" s="19" t="str">
        <f>IF(微程序地址入口表!O12=1,$J11&amp;"+","")</f>
        <v/>
      </c>
    </row>
    <row r="12" spans="1:15">
      <c r="A12" s="15" t="str">
        <f>IF(微程序地址入口表!A13&lt;&gt;"",IF(微程序地址入口表!A13=1,微程序地址入口表!A$2&amp;"&amp;",IF(微程序地址入口表!A13=0,"~"&amp;微程序地址入口表!A$2&amp;"&amp;","")),"")</f>
        <v/>
      </c>
      <c r="B12" s="16" t="str">
        <f>IF(微程序地址入口表!B13&lt;&gt;"",IF(微程序地址入口表!B13=1,微程序地址入口表!B$2&amp;"&amp;",IF(微程序地址入口表!B13=0,"~"&amp;微程序地址入口表!B$2&amp;"&amp;","")),"")</f>
        <v/>
      </c>
      <c r="C12" s="16" t="str">
        <f>IF(微程序地址入口表!C13&lt;&gt;"",IF(微程序地址入口表!C13=1,微程序地址入口表!C$2&amp;"&amp;",IF(微程序地址入口表!C13=0,"~"&amp;微程序地址入口表!C$2&amp;"&amp;","")),"")</f>
        <v/>
      </c>
      <c r="D12" s="16" t="str">
        <f>IF(微程序地址入口表!D13&lt;&gt;"",IF(微程序地址入口表!D13=1,微程序地址入口表!D$2&amp;"&amp;",IF(微程序地址入口表!D13=0,"~"&amp;微程序地址入口表!D$2&amp;"&amp;","")),"")</f>
        <v/>
      </c>
      <c r="E12" s="16" t="str">
        <f>IF(微程序地址入口表!E13&lt;&gt;"",IF(微程序地址入口表!E13=1,微程序地址入口表!E$2&amp;"&amp;",IF(微程序地址入口表!E13=0,"~"&amp;微程序地址入口表!E$2&amp;"&amp;","")),"")</f>
        <v/>
      </c>
      <c r="F12" s="16" t="str">
        <f>IF(微程序地址入口表!F13&lt;&gt;"",IF(微程序地址入口表!F13=1,微程序地址入口表!F$2&amp;"&amp;",IF(微程序地址入口表!F13=0,"~"&amp;微程序地址入口表!F$2&amp;"&amp;","")),"")</f>
        <v/>
      </c>
      <c r="G12" s="16" t="str">
        <f>IF(微程序地址入口表!G13&lt;&gt;"",IF(微程序地址入口表!G13=1,微程序地址入口表!G$2&amp;"&amp;",IF(微程序地址入口表!G13=0,"~"&amp;微程序地址入口表!G$2&amp;"&amp;","")),"")</f>
        <v/>
      </c>
      <c r="H12" s="17" t="str">
        <f>IF(微程序地址入口表!H13&lt;&gt;"",IF(微程序地址入口表!H13=1,微程序地址入口表!H$2&amp;"&amp;",IF(微程序地址入口表!H13=0,"~"&amp;微程序地址入口表!H$2&amp;"&amp;","")),"")</f>
        <v/>
      </c>
      <c r="I12" s="18"/>
      <c r="J12" s="13" t="str">
        <f t="shared" si="0"/>
        <v/>
      </c>
      <c r="K12" s="19" t="str">
        <f>IF(微程序地址入口表!K13=1,$J12&amp;"+","")</f>
        <v/>
      </c>
      <c r="L12" s="14" t="str">
        <f>IF(微程序地址入口表!L13=1,$J12&amp;"+","")</f>
        <v/>
      </c>
      <c r="M12" s="19" t="str">
        <f>IF(微程序地址入口表!M13=1,$J12&amp;"+","")</f>
        <v/>
      </c>
      <c r="N12" s="19" t="str">
        <f>IF(微程序地址入口表!N13=1,$J12&amp;"+","")</f>
        <v/>
      </c>
      <c r="O12" s="19" t="str">
        <f>IF(微程序地址入口表!O13=1,$J12&amp;"+","")</f>
        <v/>
      </c>
    </row>
    <row r="13" spans="1:15">
      <c r="A13" s="15" t="str">
        <f>IF(微程序地址入口表!A14&lt;&gt;"",IF(微程序地址入口表!A14=1,微程序地址入口表!A$2&amp;"&amp;",IF(微程序地址入口表!A14=0,"~"&amp;微程序地址入口表!A$2&amp;"&amp;","")),"")</f>
        <v/>
      </c>
      <c r="B13" s="16" t="str">
        <f>IF(微程序地址入口表!B14&lt;&gt;"",IF(微程序地址入口表!B14=1,微程序地址入口表!B$2&amp;"&amp;",IF(微程序地址入口表!B14=0,"~"&amp;微程序地址入口表!B$2&amp;"&amp;","")),"")</f>
        <v/>
      </c>
      <c r="C13" s="16" t="str">
        <f>IF(微程序地址入口表!C14&lt;&gt;"",IF(微程序地址入口表!C14=1,微程序地址入口表!C$2&amp;"&amp;",IF(微程序地址入口表!C14=0,"~"&amp;微程序地址入口表!C$2&amp;"&amp;","")),"")</f>
        <v/>
      </c>
      <c r="D13" s="16" t="str">
        <f>IF(微程序地址入口表!D14&lt;&gt;"",IF(微程序地址入口表!D14=1,微程序地址入口表!D$2&amp;"&amp;",IF(微程序地址入口表!D14=0,"~"&amp;微程序地址入口表!D$2&amp;"&amp;","")),"")</f>
        <v/>
      </c>
      <c r="E13" s="16" t="str">
        <f>IF(微程序地址入口表!E14&lt;&gt;"",IF(微程序地址入口表!E14=1,微程序地址入口表!E$2&amp;"&amp;",IF(微程序地址入口表!E14=0,"~"&amp;微程序地址入口表!E$2&amp;"&amp;","")),"")</f>
        <v/>
      </c>
      <c r="F13" s="16" t="str">
        <f>IF(微程序地址入口表!F14&lt;&gt;"",IF(微程序地址入口表!F14=1,微程序地址入口表!F$2&amp;"&amp;",IF(微程序地址入口表!F14=0,"~"&amp;微程序地址入口表!F$2&amp;"&amp;","")),"")</f>
        <v/>
      </c>
      <c r="G13" s="16" t="str">
        <f>IF(微程序地址入口表!G14&lt;&gt;"",IF(微程序地址入口表!G14=1,微程序地址入口表!G$2&amp;"&amp;",IF(微程序地址入口表!G14=0,"~"&amp;微程序地址入口表!G$2&amp;"&amp;","")),"")</f>
        <v/>
      </c>
      <c r="H13" s="17" t="str">
        <f>IF(微程序地址入口表!H14&lt;&gt;"",IF(微程序地址入口表!H14=1,微程序地址入口表!H$2&amp;"&amp;",IF(微程序地址入口表!H14=0,"~"&amp;微程序地址入口表!H$2&amp;"&amp;","")),"")</f>
        <v/>
      </c>
      <c r="I13" s="18"/>
      <c r="J13" s="13" t="str">
        <f t="shared" si="0"/>
        <v/>
      </c>
      <c r="K13" s="19" t="str">
        <f>IF(微程序地址入口表!K14=1,$J13&amp;"+","")</f>
        <v/>
      </c>
      <c r="L13" s="14" t="str">
        <f>IF(微程序地址入口表!L14=1,$J13&amp;"+","")</f>
        <v/>
      </c>
      <c r="M13" s="19" t="str">
        <f>IF(微程序地址入口表!M14=1,$J13&amp;"+","")</f>
        <v/>
      </c>
      <c r="N13" s="19" t="str">
        <f>IF(微程序地址入口表!N14=1,$J13&amp;"+","")</f>
        <v/>
      </c>
      <c r="O13" s="19" t="str">
        <f>IF(微程序地址入口表!O14=1,$J13&amp;"+","")</f>
        <v/>
      </c>
    </row>
    <row r="14" spans="1:15">
      <c r="A14" s="15" t="str">
        <f>IF(微程序地址入口表!A15&lt;&gt;"",IF(微程序地址入口表!A15=1,微程序地址入口表!A$2&amp;"&amp;",IF(微程序地址入口表!A15=0,"~"&amp;微程序地址入口表!A$2&amp;"&amp;","")),"")</f>
        <v/>
      </c>
      <c r="B14" s="16" t="str">
        <f>IF(微程序地址入口表!B15&lt;&gt;"",IF(微程序地址入口表!B15=1,微程序地址入口表!B$2&amp;"&amp;",IF(微程序地址入口表!B15=0,"~"&amp;微程序地址入口表!B$2&amp;"&amp;","")),"")</f>
        <v/>
      </c>
      <c r="C14" s="16" t="str">
        <f>IF(微程序地址入口表!C15&lt;&gt;"",IF(微程序地址入口表!C15=1,微程序地址入口表!C$2&amp;"&amp;",IF(微程序地址入口表!C15=0,"~"&amp;微程序地址入口表!C$2&amp;"&amp;","")),"")</f>
        <v/>
      </c>
      <c r="D14" s="16" t="str">
        <f>IF(微程序地址入口表!D15&lt;&gt;"",IF(微程序地址入口表!D15=1,微程序地址入口表!D$2&amp;"&amp;",IF(微程序地址入口表!D15=0,"~"&amp;微程序地址入口表!D$2&amp;"&amp;","")),"")</f>
        <v/>
      </c>
      <c r="E14" s="16" t="str">
        <f>IF(微程序地址入口表!E15&lt;&gt;"",IF(微程序地址入口表!E15=1,微程序地址入口表!E$2&amp;"&amp;",IF(微程序地址入口表!E15=0,"~"&amp;微程序地址入口表!E$2&amp;"&amp;","")),"")</f>
        <v/>
      </c>
      <c r="F14" s="16" t="str">
        <f>IF(微程序地址入口表!F15&lt;&gt;"",IF(微程序地址入口表!F15=1,微程序地址入口表!F$2&amp;"&amp;",IF(微程序地址入口表!F15=0,"~"&amp;微程序地址入口表!F$2&amp;"&amp;","")),"")</f>
        <v/>
      </c>
      <c r="G14" s="16" t="str">
        <f>IF(微程序地址入口表!G15&lt;&gt;"",IF(微程序地址入口表!G15=1,微程序地址入口表!G$2&amp;"&amp;",IF(微程序地址入口表!G15=0,"~"&amp;微程序地址入口表!G$2&amp;"&amp;","")),"")</f>
        <v/>
      </c>
      <c r="H14" s="17" t="str">
        <f>IF(微程序地址入口表!H15&lt;&gt;"",IF(微程序地址入口表!H15=1,微程序地址入口表!H$2&amp;"&amp;",IF(微程序地址入口表!H15=0,"~"&amp;微程序地址入口表!H$2&amp;"&amp;","")),"")</f>
        <v/>
      </c>
      <c r="I14" s="18"/>
      <c r="J14" s="13" t="str">
        <f t="shared" si="0"/>
        <v/>
      </c>
      <c r="K14" s="19" t="str">
        <f>IF(微程序地址入口表!K15=1,$J14&amp;"+","")</f>
        <v/>
      </c>
      <c r="L14" s="14" t="str">
        <f>IF(微程序地址入口表!L15=1,$J14&amp;"+","")</f>
        <v/>
      </c>
      <c r="M14" s="19" t="str">
        <f>IF(微程序地址入口表!M15=1,$J14&amp;"+","")</f>
        <v/>
      </c>
      <c r="N14" s="19" t="str">
        <f>IF(微程序地址入口表!N15=1,$J14&amp;"+","")</f>
        <v/>
      </c>
      <c r="O14" s="19" t="str">
        <f>IF(微程序地址入口表!O15=1,$J14&amp;"+","")</f>
        <v/>
      </c>
    </row>
    <row r="15" hidden="1" spans="1:15">
      <c r="A15" s="15" t="str">
        <f>IF(微程序地址入口表!A16&lt;&gt;"",IF(微程序地址入口表!A16=1,微程序地址入口表!A$2&amp;"&amp;",IF(微程序地址入口表!A16=0,"~"&amp;微程序地址入口表!A$2&amp;"&amp;","")),"")</f>
        <v/>
      </c>
      <c r="B15" s="16" t="str">
        <f>IF(微程序地址入口表!B16&lt;&gt;"",IF(微程序地址入口表!B16=1,微程序地址入口表!B$2&amp;"&amp;",IF(微程序地址入口表!B16=0,"~"&amp;微程序地址入口表!B$2&amp;"&amp;","")),"")</f>
        <v/>
      </c>
      <c r="C15" s="16" t="str">
        <f>IF(微程序地址入口表!C16&lt;&gt;"",IF(微程序地址入口表!C16=1,微程序地址入口表!C$2&amp;"&amp;",IF(微程序地址入口表!C16=0,"~"&amp;微程序地址入口表!C$2&amp;"&amp;","")),"")</f>
        <v/>
      </c>
      <c r="D15" s="16" t="str">
        <f>IF(微程序地址入口表!D16&lt;&gt;"",IF(微程序地址入口表!D16=1,微程序地址入口表!D$2&amp;"&amp;",IF(微程序地址入口表!D16=0,"~"&amp;微程序地址入口表!D$2&amp;"&amp;","")),"")</f>
        <v/>
      </c>
      <c r="E15" s="16" t="str">
        <f>IF(微程序地址入口表!E16&lt;&gt;"",IF(微程序地址入口表!E16=1,微程序地址入口表!E$2&amp;"&amp;",IF(微程序地址入口表!E16=0,"~"&amp;微程序地址入口表!E$2&amp;"&amp;","")),"")</f>
        <v/>
      </c>
      <c r="F15" s="16" t="str">
        <f>IF(微程序地址入口表!F16&lt;&gt;"",IF(微程序地址入口表!F16=1,微程序地址入口表!F$2&amp;"&amp;",IF(微程序地址入口表!F16=0,"~"&amp;微程序地址入口表!F$2&amp;"&amp;","")),"")</f>
        <v/>
      </c>
      <c r="G15" s="16" t="str">
        <f>IF(微程序地址入口表!G16&lt;&gt;"",IF(微程序地址入口表!G16=1,微程序地址入口表!G$2&amp;"&amp;",IF(微程序地址入口表!G16=0,"~"&amp;微程序地址入口表!G$2&amp;"&amp;","")),"")</f>
        <v/>
      </c>
      <c r="H15" s="17" t="str">
        <f>IF(微程序地址入口表!H16&lt;&gt;"",IF(微程序地址入口表!H16=1,微程序地址入口表!H$2&amp;"&amp;",IF(微程序地址入口表!H16=0,"~"&amp;微程序地址入口表!H$2&amp;"&amp;","")),"")</f>
        <v/>
      </c>
      <c r="I15" s="18"/>
      <c r="J15" s="13" t="str">
        <f t="shared" si="0"/>
        <v/>
      </c>
      <c r="K15" s="19" t="str">
        <f>IF(微程序地址入口表!K16=1,$J15&amp;"+","")</f>
        <v/>
      </c>
      <c r="L15" s="14" t="str">
        <f>IF(微程序地址入口表!L16=1,$J15&amp;"+","")</f>
        <v/>
      </c>
      <c r="M15" s="19" t="str">
        <f>IF(微程序地址入口表!M16=1,$J15&amp;"+","")</f>
        <v/>
      </c>
      <c r="N15" s="19" t="str">
        <f>IF(微程序地址入口表!N16=1,$J15&amp;"+","")</f>
        <v/>
      </c>
      <c r="O15" s="19" t="str">
        <f>IF(微程序地址入口表!O16=1,$J15&amp;"+","")</f>
        <v/>
      </c>
    </row>
    <row r="16" hidden="1" spans="1:15">
      <c r="A16" s="15" t="str">
        <f>IF(微程序地址入口表!A17&lt;&gt;"",IF(微程序地址入口表!A17=1,微程序地址入口表!A$2&amp;"&amp;",IF(微程序地址入口表!A17=0,"~"&amp;微程序地址入口表!A$2&amp;"&amp;","")),"")</f>
        <v/>
      </c>
      <c r="B16" s="16" t="str">
        <f>IF(微程序地址入口表!B17&lt;&gt;"",IF(微程序地址入口表!B17=1,微程序地址入口表!B$2&amp;"&amp;",IF(微程序地址入口表!B17=0,"~"&amp;微程序地址入口表!B$2&amp;"&amp;","")),"")</f>
        <v/>
      </c>
      <c r="C16" s="16" t="str">
        <f>IF(微程序地址入口表!C17&lt;&gt;"",IF(微程序地址入口表!C17=1,微程序地址入口表!C$2&amp;"&amp;",IF(微程序地址入口表!C17=0,"~"&amp;微程序地址入口表!C$2&amp;"&amp;","")),"")</f>
        <v/>
      </c>
      <c r="D16" s="16" t="str">
        <f>IF(微程序地址入口表!D17&lt;&gt;"",IF(微程序地址入口表!D17=1,微程序地址入口表!D$2&amp;"&amp;",IF(微程序地址入口表!D17=0,"~"&amp;微程序地址入口表!D$2&amp;"&amp;","")),"")</f>
        <v/>
      </c>
      <c r="E16" s="16" t="str">
        <f>IF(微程序地址入口表!E17&lt;&gt;"",IF(微程序地址入口表!E17=1,微程序地址入口表!E$2&amp;"&amp;",IF(微程序地址入口表!E17=0,"~"&amp;微程序地址入口表!E$2&amp;"&amp;","")),"")</f>
        <v/>
      </c>
      <c r="F16" s="16" t="str">
        <f>IF(微程序地址入口表!F17&lt;&gt;"",IF(微程序地址入口表!F17=1,微程序地址入口表!F$2&amp;"&amp;",IF(微程序地址入口表!F17=0,"~"&amp;微程序地址入口表!F$2&amp;"&amp;","")),"")</f>
        <v/>
      </c>
      <c r="G16" s="16" t="str">
        <f>IF(微程序地址入口表!G17&lt;&gt;"",IF(微程序地址入口表!G17=1,微程序地址入口表!G$2&amp;"&amp;",IF(微程序地址入口表!G17=0,"~"&amp;微程序地址入口表!G$2&amp;"&amp;","")),"")</f>
        <v/>
      </c>
      <c r="H16" s="17" t="str">
        <f>IF(微程序地址入口表!H17&lt;&gt;"",IF(微程序地址入口表!H17=1,微程序地址入口表!H$2&amp;"&amp;",IF(微程序地址入口表!H17=0,"~"&amp;微程序地址入口表!H$2&amp;"&amp;","")),"")</f>
        <v/>
      </c>
      <c r="I16" s="18"/>
      <c r="J16" s="13" t="str">
        <f t="shared" si="0"/>
        <v/>
      </c>
      <c r="K16" s="19" t="str">
        <f>IF(微程序地址入口表!K17=1,$J16&amp;"+","")</f>
        <v/>
      </c>
      <c r="L16" s="14" t="str">
        <f>IF(微程序地址入口表!L17=1,$J16&amp;"+","")</f>
        <v/>
      </c>
      <c r="M16" s="19" t="str">
        <f>IF(微程序地址入口表!M17=1,$J16&amp;"+","")</f>
        <v/>
      </c>
      <c r="N16" s="19" t="str">
        <f>IF(微程序地址入口表!N17=1,$J16&amp;"+","")</f>
        <v/>
      </c>
      <c r="O16" s="19" t="str">
        <f>IF(微程序地址入口表!O17=1,$J16&amp;"+","")</f>
        <v/>
      </c>
    </row>
    <row r="17" hidden="1" spans="1:15">
      <c r="A17" s="15" t="str">
        <f>IF(微程序地址入口表!A18&lt;&gt;"",IF(微程序地址入口表!A18=1,微程序地址入口表!A$2&amp;"&amp;",IF(微程序地址入口表!A18=0,"~"&amp;微程序地址入口表!A$2&amp;"&amp;","")),"")</f>
        <v/>
      </c>
      <c r="B17" s="16" t="str">
        <f>IF(微程序地址入口表!B18&lt;&gt;"",IF(微程序地址入口表!B18=1,微程序地址入口表!B$2&amp;"&amp;",IF(微程序地址入口表!B18=0,"~"&amp;微程序地址入口表!B$2&amp;"&amp;","")),"")</f>
        <v/>
      </c>
      <c r="C17" s="16" t="str">
        <f>IF(微程序地址入口表!C18&lt;&gt;"",IF(微程序地址入口表!C18=1,微程序地址入口表!C$2&amp;"&amp;",IF(微程序地址入口表!C18=0,"~"&amp;微程序地址入口表!C$2&amp;"&amp;","")),"")</f>
        <v/>
      </c>
      <c r="D17" s="16" t="str">
        <f>IF(微程序地址入口表!D18&lt;&gt;"",IF(微程序地址入口表!D18=1,微程序地址入口表!D$2&amp;"&amp;",IF(微程序地址入口表!D18=0,"~"&amp;微程序地址入口表!D$2&amp;"&amp;","")),"")</f>
        <v/>
      </c>
      <c r="E17" s="16" t="str">
        <f>IF(微程序地址入口表!E18&lt;&gt;"",IF(微程序地址入口表!E18=1,微程序地址入口表!E$2&amp;"&amp;",IF(微程序地址入口表!E18=0,"~"&amp;微程序地址入口表!E$2&amp;"&amp;","")),"")</f>
        <v/>
      </c>
      <c r="F17" s="16" t="str">
        <f>IF(微程序地址入口表!F18&lt;&gt;"",IF(微程序地址入口表!F18=1,微程序地址入口表!F$2&amp;"&amp;",IF(微程序地址入口表!F18=0,"~"&amp;微程序地址入口表!F$2&amp;"&amp;","")),"")</f>
        <v/>
      </c>
      <c r="G17" s="16" t="str">
        <f>IF(微程序地址入口表!G18&lt;&gt;"",IF(微程序地址入口表!G18=1,微程序地址入口表!G$2&amp;"&amp;",IF(微程序地址入口表!G18=0,"~"&amp;微程序地址入口表!G$2&amp;"&amp;","")),"")</f>
        <v/>
      </c>
      <c r="H17" s="17" t="str">
        <f>IF(微程序地址入口表!H18&lt;&gt;"",IF(微程序地址入口表!H18=1,微程序地址入口表!H$2&amp;"&amp;",IF(微程序地址入口表!H18=0,"~"&amp;微程序地址入口表!H$2&amp;"&amp;","")),"")</f>
        <v/>
      </c>
      <c r="I17" s="18"/>
      <c r="J17" s="13" t="str">
        <f t="shared" si="0"/>
        <v/>
      </c>
      <c r="K17" s="19" t="str">
        <f>IF(微程序地址入口表!K18=1,$J17&amp;"+","")</f>
        <v/>
      </c>
      <c r="L17" s="14" t="str">
        <f>IF(微程序地址入口表!L18=1,$J17&amp;"+","")</f>
        <v/>
      </c>
      <c r="M17" s="19" t="str">
        <f>IF(微程序地址入口表!M18=1,$J17&amp;"+","")</f>
        <v/>
      </c>
      <c r="N17" s="19" t="str">
        <f>IF(微程序地址入口表!N18=1,$J17&amp;"+","")</f>
        <v/>
      </c>
      <c r="O17" s="19" t="str">
        <f>IF(微程序地址入口表!O18=1,$J17&amp;"+","")</f>
        <v/>
      </c>
    </row>
    <row r="18" hidden="1" spans="1:15">
      <c r="A18" s="15" t="str">
        <f>IF(微程序地址入口表!A19&lt;&gt;"",IF(微程序地址入口表!A19=1,微程序地址入口表!A$2&amp;"&amp;",IF(微程序地址入口表!A19=0,"~"&amp;微程序地址入口表!A$2&amp;"&amp;","")),"")</f>
        <v/>
      </c>
      <c r="B18" s="16" t="str">
        <f>IF(微程序地址入口表!B19&lt;&gt;"",IF(微程序地址入口表!B19=1,微程序地址入口表!B$2&amp;"&amp;",IF(微程序地址入口表!B19=0,"~"&amp;微程序地址入口表!B$2&amp;"&amp;","")),"")</f>
        <v/>
      </c>
      <c r="C18" s="16" t="str">
        <f>IF(微程序地址入口表!C19&lt;&gt;"",IF(微程序地址入口表!C19=1,微程序地址入口表!C$2&amp;"&amp;",IF(微程序地址入口表!C19=0,"~"&amp;微程序地址入口表!C$2&amp;"&amp;","")),"")</f>
        <v/>
      </c>
      <c r="D18" s="16" t="str">
        <f>IF(微程序地址入口表!D19&lt;&gt;"",IF(微程序地址入口表!D19=1,微程序地址入口表!D$2&amp;"&amp;",IF(微程序地址入口表!D19=0,"~"&amp;微程序地址入口表!D$2&amp;"&amp;","")),"")</f>
        <v/>
      </c>
      <c r="E18" s="16" t="str">
        <f>IF(微程序地址入口表!E19&lt;&gt;"",IF(微程序地址入口表!E19=1,微程序地址入口表!E$2&amp;"&amp;",IF(微程序地址入口表!E19=0,"~"&amp;微程序地址入口表!E$2&amp;"&amp;","")),"")</f>
        <v/>
      </c>
      <c r="F18" s="16" t="str">
        <f>IF(微程序地址入口表!F19&lt;&gt;"",IF(微程序地址入口表!F19=1,微程序地址入口表!F$2&amp;"&amp;",IF(微程序地址入口表!F19=0,"~"&amp;微程序地址入口表!F$2&amp;"&amp;","")),"")</f>
        <v/>
      </c>
      <c r="G18" s="16" t="str">
        <f>IF(微程序地址入口表!G19&lt;&gt;"",IF(微程序地址入口表!G19=1,微程序地址入口表!G$2&amp;"&amp;",IF(微程序地址入口表!G19=0,"~"&amp;微程序地址入口表!G$2&amp;"&amp;","")),"")</f>
        <v/>
      </c>
      <c r="H18" s="17" t="str">
        <f>IF(微程序地址入口表!H19&lt;&gt;"",IF(微程序地址入口表!H19=1,微程序地址入口表!H$2&amp;"&amp;",IF(微程序地址入口表!H19=0,"~"&amp;微程序地址入口表!H$2&amp;"&amp;","")),"")</f>
        <v/>
      </c>
      <c r="I18" s="18"/>
      <c r="J18" s="13" t="str">
        <f t="shared" si="0"/>
        <v/>
      </c>
      <c r="K18" s="19" t="str">
        <f>IF(微程序地址入口表!K19=1,$J18&amp;"+","")</f>
        <v/>
      </c>
      <c r="L18" s="14" t="str">
        <f>IF(微程序地址入口表!L19=1,$J18&amp;"+","")</f>
        <v/>
      </c>
      <c r="M18" s="19" t="str">
        <f>IF(微程序地址入口表!M19=1,$J18&amp;"+","")</f>
        <v/>
      </c>
      <c r="N18" s="19" t="str">
        <f>IF(微程序地址入口表!N19=1,$J18&amp;"+","")</f>
        <v/>
      </c>
      <c r="O18" s="19" t="str">
        <f>IF(微程序地址入口表!O19=1,$J18&amp;"+","")</f>
        <v/>
      </c>
    </row>
    <row r="19" hidden="1" spans="1:15">
      <c r="A19" s="15" t="str">
        <f>IF(微程序地址入口表!A20&lt;&gt;"",IF(微程序地址入口表!A20=1,微程序地址入口表!A$2&amp;"&amp;",IF(微程序地址入口表!A20=0,"~"&amp;微程序地址入口表!A$2&amp;"&amp;","")),"")</f>
        <v/>
      </c>
      <c r="B19" s="16" t="str">
        <f>IF(微程序地址入口表!B20&lt;&gt;"",IF(微程序地址入口表!B20=1,微程序地址入口表!B$2&amp;"&amp;",IF(微程序地址入口表!B20=0,"~"&amp;微程序地址入口表!B$2&amp;"&amp;","")),"")</f>
        <v/>
      </c>
      <c r="C19" s="16" t="str">
        <f>IF(微程序地址入口表!C20&lt;&gt;"",IF(微程序地址入口表!C20=1,微程序地址入口表!C$2&amp;"&amp;",IF(微程序地址入口表!C20=0,"~"&amp;微程序地址入口表!C$2&amp;"&amp;","")),"")</f>
        <v/>
      </c>
      <c r="D19" s="16" t="str">
        <f>IF(微程序地址入口表!D20&lt;&gt;"",IF(微程序地址入口表!D20=1,微程序地址入口表!D$2&amp;"&amp;",IF(微程序地址入口表!D20=0,"~"&amp;微程序地址入口表!D$2&amp;"&amp;","")),"")</f>
        <v/>
      </c>
      <c r="E19" s="16" t="str">
        <f>IF(微程序地址入口表!E20&lt;&gt;"",IF(微程序地址入口表!E20=1,微程序地址入口表!E$2&amp;"&amp;",IF(微程序地址入口表!E20=0,"~"&amp;微程序地址入口表!E$2&amp;"&amp;","")),"")</f>
        <v/>
      </c>
      <c r="F19" s="16" t="str">
        <f>IF(微程序地址入口表!F20&lt;&gt;"",IF(微程序地址入口表!F20=1,微程序地址入口表!F$2&amp;"&amp;",IF(微程序地址入口表!F20=0,"~"&amp;微程序地址入口表!F$2&amp;"&amp;","")),"")</f>
        <v/>
      </c>
      <c r="G19" s="16" t="str">
        <f>IF(微程序地址入口表!G20&lt;&gt;"",IF(微程序地址入口表!G20=1,微程序地址入口表!G$2&amp;"&amp;",IF(微程序地址入口表!G20=0,"~"&amp;微程序地址入口表!G$2&amp;"&amp;","")),"")</f>
        <v/>
      </c>
      <c r="H19" s="17" t="str">
        <f>IF(微程序地址入口表!H20&lt;&gt;"",IF(微程序地址入口表!H20=1,微程序地址入口表!H$2&amp;"&amp;",IF(微程序地址入口表!H20=0,"~"&amp;微程序地址入口表!H$2&amp;"&amp;","")),"")</f>
        <v/>
      </c>
      <c r="I19" s="18"/>
      <c r="J19" s="13" t="str">
        <f t="shared" si="0"/>
        <v/>
      </c>
      <c r="K19" s="19" t="str">
        <f>IF(微程序地址入口表!K20=1,$J19&amp;"+","")</f>
        <v/>
      </c>
      <c r="L19" s="14" t="str">
        <f>IF(微程序地址入口表!L20=1,$J19&amp;"+","")</f>
        <v/>
      </c>
      <c r="M19" s="19" t="str">
        <f>IF(微程序地址入口表!M20=1,$J19&amp;"+","")</f>
        <v/>
      </c>
      <c r="N19" s="19" t="str">
        <f>IF(微程序地址入口表!N20=1,$J19&amp;"+","")</f>
        <v/>
      </c>
      <c r="O19" s="19" t="str">
        <f>IF(微程序地址入口表!O20=1,$J19&amp;"+","")</f>
        <v/>
      </c>
    </row>
    <row r="20" hidden="1" spans="1:15">
      <c r="A20" s="15" t="str">
        <f>IF(微程序地址入口表!A21&lt;&gt;"",IF(微程序地址入口表!A21=1,微程序地址入口表!A$2&amp;"&amp;",IF(微程序地址入口表!A21=0,"~"&amp;微程序地址入口表!A$2&amp;"&amp;","")),"")</f>
        <v/>
      </c>
      <c r="B20" s="16" t="str">
        <f>IF(微程序地址入口表!B21&lt;&gt;"",IF(微程序地址入口表!B21=1,微程序地址入口表!B$2&amp;"&amp;",IF(微程序地址入口表!B21=0,"~"&amp;微程序地址入口表!B$2&amp;"&amp;","")),"")</f>
        <v/>
      </c>
      <c r="C20" s="16" t="str">
        <f>IF(微程序地址入口表!C21&lt;&gt;"",IF(微程序地址入口表!C21=1,微程序地址入口表!C$2&amp;"&amp;",IF(微程序地址入口表!C21=0,"~"&amp;微程序地址入口表!C$2&amp;"&amp;","")),"")</f>
        <v/>
      </c>
      <c r="D20" s="16" t="str">
        <f>IF(微程序地址入口表!D21&lt;&gt;"",IF(微程序地址入口表!D21=1,微程序地址入口表!D$2&amp;"&amp;",IF(微程序地址入口表!D21=0,"~"&amp;微程序地址入口表!D$2&amp;"&amp;","")),"")</f>
        <v/>
      </c>
      <c r="E20" s="16" t="str">
        <f>IF(微程序地址入口表!E21&lt;&gt;"",IF(微程序地址入口表!E21=1,微程序地址入口表!E$2&amp;"&amp;",IF(微程序地址入口表!E21=0,"~"&amp;微程序地址入口表!E$2&amp;"&amp;","")),"")</f>
        <v/>
      </c>
      <c r="F20" s="16" t="str">
        <f>IF(微程序地址入口表!F21&lt;&gt;"",IF(微程序地址入口表!F21=1,微程序地址入口表!F$2&amp;"&amp;",IF(微程序地址入口表!F21=0,"~"&amp;微程序地址入口表!F$2&amp;"&amp;","")),"")</f>
        <v/>
      </c>
      <c r="G20" s="16" t="str">
        <f>IF(微程序地址入口表!G21&lt;&gt;"",IF(微程序地址入口表!G21=1,微程序地址入口表!G$2&amp;"&amp;",IF(微程序地址入口表!G21=0,"~"&amp;微程序地址入口表!G$2&amp;"&amp;","")),"")</f>
        <v/>
      </c>
      <c r="H20" s="17" t="str">
        <f>IF(微程序地址入口表!H21&lt;&gt;"",IF(微程序地址入口表!H21=1,微程序地址入口表!H$2&amp;"&amp;",IF(微程序地址入口表!H21=0,"~"&amp;微程序地址入口表!H$2&amp;"&amp;","")),"")</f>
        <v/>
      </c>
      <c r="I20" s="18"/>
      <c r="J20" s="13" t="str">
        <f t="shared" si="0"/>
        <v/>
      </c>
      <c r="K20" s="19" t="str">
        <f>IF(微程序地址入口表!K21=1,$J20&amp;"+","")</f>
        <v/>
      </c>
      <c r="L20" s="14" t="str">
        <f>IF(微程序地址入口表!L21=1,$J20&amp;"+","")</f>
        <v/>
      </c>
      <c r="M20" s="19" t="str">
        <f>IF(微程序地址入口表!M21=1,$J20&amp;"+","")</f>
        <v/>
      </c>
      <c r="N20" s="19" t="str">
        <f>IF(微程序地址入口表!N21=1,$J20&amp;"+","")</f>
        <v/>
      </c>
      <c r="O20" s="19" t="str">
        <f>IF(微程序地址入口表!O21=1,$J20&amp;"+","")</f>
        <v/>
      </c>
    </row>
    <row r="21" hidden="1" spans="1:15">
      <c r="A21" s="15" t="str">
        <f>IF(微程序地址入口表!A22&lt;&gt;"",IF(微程序地址入口表!A22=1,微程序地址入口表!A$2&amp;"&amp;",IF(微程序地址入口表!A22=0,"~"&amp;微程序地址入口表!A$2&amp;"&amp;","")),"")</f>
        <v/>
      </c>
      <c r="B21" s="16" t="str">
        <f>IF(微程序地址入口表!B22&lt;&gt;"",IF(微程序地址入口表!B22=1,微程序地址入口表!B$2&amp;"&amp;",IF(微程序地址入口表!B22=0,"~"&amp;微程序地址入口表!B$2&amp;"&amp;","")),"")</f>
        <v/>
      </c>
      <c r="C21" s="16" t="str">
        <f>IF(微程序地址入口表!C22&lt;&gt;"",IF(微程序地址入口表!C22=1,微程序地址入口表!C$2&amp;"&amp;",IF(微程序地址入口表!C22=0,"~"&amp;微程序地址入口表!C$2&amp;"&amp;","")),"")</f>
        <v/>
      </c>
      <c r="D21" s="16" t="str">
        <f>IF(微程序地址入口表!D22&lt;&gt;"",IF(微程序地址入口表!D22=1,微程序地址入口表!D$2&amp;"&amp;",IF(微程序地址入口表!D22=0,"~"&amp;微程序地址入口表!D$2&amp;"&amp;","")),"")</f>
        <v/>
      </c>
      <c r="E21" s="16" t="str">
        <f>IF(微程序地址入口表!E22&lt;&gt;"",IF(微程序地址入口表!E22=1,微程序地址入口表!E$2&amp;"&amp;",IF(微程序地址入口表!E22=0,"~"&amp;微程序地址入口表!E$2&amp;"&amp;","")),"")</f>
        <v/>
      </c>
      <c r="F21" s="16" t="str">
        <f>IF(微程序地址入口表!F22&lt;&gt;"",IF(微程序地址入口表!F22=1,微程序地址入口表!F$2&amp;"&amp;",IF(微程序地址入口表!F22=0,"~"&amp;微程序地址入口表!F$2&amp;"&amp;","")),"")</f>
        <v/>
      </c>
      <c r="G21" s="16" t="str">
        <f>IF(微程序地址入口表!G22&lt;&gt;"",IF(微程序地址入口表!G22=1,微程序地址入口表!G$2&amp;"&amp;",IF(微程序地址入口表!G22=0,"~"&amp;微程序地址入口表!G$2&amp;"&amp;","")),"")</f>
        <v/>
      </c>
      <c r="H21" s="17" t="str">
        <f>IF(微程序地址入口表!H22&lt;&gt;"",IF(微程序地址入口表!H22=1,微程序地址入口表!H$2&amp;"&amp;",IF(微程序地址入口表!H22=0,"~"&amp;微程序地址入口表!H$2&amp;"&amp;","")),"")</f>
        <v/>
      </c>
      <c r="I21" s="18"/>
      <c r="J21" s="13" t="str">
        <f t="shared" si="0"/>
        <v/>
      </c>
      <c r="K21" s="19" t="str">
        <f>IF(微程序地址入口表!K22=1,$J21&amp;"+","")</f>
        <v/>
      </c>
      <c r="L21" s="14" t="str">
        <f>IF(微程序地址入口表!L22=1,$J21&amp;"+","")</f>
        <v/>
      </c>
      <c r="M21" s="19" t="str">
        <f>IF(微程序地址入口表!M22=1,$J21&amp;"+","")</f>
        <v/>
      </c>
      <c r="N21" s="19" t="str">
        <f>IF(微程序地址入口表!N22=1,$J21&amp;"+","")</f>
        <v/>
      </c>
      <c r="O21" s="19" t="str">
        <f>IF(微程序地址入口表!O22=1,$J21&amp;"+","")</f>
        <v/>
      </c>
    </row>
    <row r="22" hidden="1" spans="1:15">
      <c r="A22" s="15" t="str">
        <f>IF(微程序地址入口表!A23&lt;&gt;"",IF(微程序地址入口表!A23=1,微程序地址入口表!A$2&amp;"&amp;",IF(微程序地址入口表!A23=0,"~"&amp;微程序地址入口表!A$2&amp;"&amp;","")),"")</f>
        <v/>
      </c>
      <c r="B22" s="16" t="str">
        <f>IF(微程序地址入口表!B23&lt;&gt;"",IF(微程序地址入口表!B23=1,微程序地址入口表!B$2&amp;"&amp;",IF(微程序地址入口表!B23=0,"~"&amp;微程序地址入口表!B$2&amp;"&amp;","")),"")</f>
        <v/>
      </c>
      <c r="C22" s="16" t="str">
        <f>IF(微程序地址入口表!C23&lt;&gt;"",IF(微程序地址入口表!C23=1,微程序地址入口表!C$2&amp;"&amp;",IF(微程序地址入口表!C23=0,"~"&amp;微程序地址入口表!C$2&amp;"&amp;","")),"")</f>
        <v/>
      </c>
      <c r="D22" s="16" t="str">
        <f>IF(微程序地址入口表!D23&lt;&gt;"",IF(微程序地址入口表!D23=1,微程序地址入口表!D$2&amp;"&amp;",IF(微程序地址入口表!D23=0,"~"&amp;微程序地址入口表!D$2&amp;"&amp;","")),"")</f>
        <v/>
      </c>
      <c r="E22" s="16" t="str">
        <f>IF(微程序地址入口表!E23&lt;&gt;"",IF(微程序地址入口表!E23=1,微程序地址入口表!E$2&amp;"&amp;",IF(微程序地址入口表!E23=0,"~"&amp;微程序地址入口表!E$2&amp;"&amp;","")),"")</f>
        <v/>
      </c>
      <c r="F22" s="16" t="str">
        <f>IF(微程序地址入口表!F23&lt;&gt;"",IF(微程序地址入口表!F23=1,微程序地址入口表!F$2&amp;"&amp;",IF(微程序地址入口表!F23=0,"~"&amp;微程序地址入口表!F$2&amp;"&amp;","")),"")</f>
        <v/>
      </c>
      <c r="G22" s="16" t="str">
        <f>IF(微程序地址入口表!G23&lt;&gt;"",IF(微程序地址入口表!G23=1,微程序地址入口表!G$2&amp;"&amp;",IF(微程序地址入口表!G23=0,"~"&amp;微程序地址入口表!G$2&amp;"&amp;","")),"")</f>
        <v/>
      </c>
      <c r="H22" s="17" t="str">
        <f>IF(微程序地址入口表!H23&lt;&gt;"",IF(微程序地址入口表!H23=1,微程序地址入口表!H$2&amp;"&amp;",IF(微程序地址入口表!H23=0,"~"&amp;微程序地址入口表!H$2&amp;"&amp;","")),"")</f>
        <v/>
      </c>
      <c r="I22" s="18"/>
      <c r="J22" s="13" t="str">
        <f t="shared" si="0"/>
        <v/>
      </c>
      <c r="K22" s="19" t="str">
        <f>IF(微程序地址入口表!K23=1,$J22&amp;"+","")</f>
        <v/>
      </c>
      <c r="L22" s="14" t="str">
        <f>IF(微程序地址入口表!L23=1,$J22&amp;"+","")</f>
        <v/>
      </c>
      <c r="M22" s="19" t="str">
        <f>IF(微程序地址入口表!M23=1,$J22&amp;"+","")</f>
        <v/>
      </c>
      <c r="N22" s="19" t="str">
        <f>IF(微程序地址入口表!N23=1,$J22&amp;"+","")</f>
        <v/>
      </c>
      <c r="O22" s="19" t="str">
        <f>IF(微程序地址入口表!O23=1,$J22&amp;"+","")</f>
        <v/>
      </c>
    </row>
    <row r="23" hidden="1" spans="1:15">
      <c r="A23" s="15" t="str">
        <f>IF(微程序地址入口表!A24&lt;&gt;"",IF(微程序地址入口表!A24=1,微程序地址入口表!A$2&amp;"&amp;",IF(微程序地址入口表!A24=0,"~"&amp;微程序地址入口表!A$2&amp;"&amp;","")),"")</f>
        <v/>
      </c>
      <c r="B23" s="16" t="str">
        <f>IF(微程序地址入口表!B24&lt;&gt;"",IF(微程序地址入口表!B24=1,微程序地址入口表!B$2&amp;"&amp;",IF(微程序地址入口表!B24=0,"~"&amp;微程序地址入口表!B$2&amp;"&amp;","")),"")</f>
        <v/>
      </c>
      <c r="C23" s="16" t="str">
        <f>IF(微程序地址入口表!C24&lt;&gt;"",IF(微程序地址入口表!C24=1,微程序地址入口表!C$2&amp;"&amp;",IF(微程序地址入口表!C24=0,"~"&amp;微程序地址入口表!C$2&amp;"&amp;","")),"")</f>
        <v/>
      </c>
      <c r="D23" s="16" t="str">
        <f>IF(微程序地址入口表!D24&lt;&gt;"",IF(微程序地址入口表!D24=1,微程序地址入口表!D$2&amp;"&amp;",IF(微程序地址入口表!D24=0,"~"&amp;微程序地址入口表!D$2&amp;"&amp;","")),"")</f>
        <v/>
      </c>
      <c r="E23" s="16" t="str">
        <f>IF(微程序地址入口表!E24&lt;&gt;"",IF(微程序地址入口表!E24=1,微程序地址入口表!E$2&amp;"&amp;",IF(微程序地址入口表!E24=0,"~"&amp;微程序地址入口表!E$2&amp;"&amp;","")),"")</f>
        <v/>
      </c>
      <c r="F23" s="16" t="str">
        <f>IF(微程序地址入口表!F24&lt;&gt;"",IF(微程序地址入口表!F24=1,微程序地址入口表!F$2&amp;"&amp;",IF(微程序地址入口表!F24=0,"~"&amp;微程序地址入口表!F$2&amp;"&amp;","")),"")</f>
        <v/>
      </c>
      <c r="G23" s="16" t="str">
        <f>IF(微程序地址入口表!G24&lt;&gt;"",IF(微程序地址入口表!G24=1,微程序地址入口表!G$2&amp;"&amp;",IF(微程序地址入口表!G24=0,"~"&amp;微程序地址入口表!G$2&amp;"&amp;","")),"")</f>
        <v/>
      </c>
      <c r="H23" s="17" t="str">
        <f>IF(微程序地址入口表!H24&lt;&gt;"",IF(微程序地址入口表!H24=1,微程序地址入口表!H$2&amp;"&amp;",IF(微程序地址入口表!H24=0,"~"&amp;微程序地址入口表!H$2&amp;"&amp;","")),"")</f>
        <v/>
      </c>
      <c r="I23" s="18"/>
      <c r="J23" s="13" t="str">
        <f t="shared" si="0"/>
        <v/>
      </c>
      <c r="K23" s="19" t="str">
        <f>IF(微程序地址入口表!K24=1,$J23&amp;"+","")</f>
        <v/>
      </c>
      <c r="L23" s="14" t="str">
        <f>IF(微程序地址入口表!L24=1,$J23&amp;"+","")</f>
        <v/>
      </c>
      <c r="M23" s="19" t="str">
        <f>IF(微程序地址入口表!M24=1,$J23&amp;"+","")</f>
        <v/>
      </c>
      <c r="N23" s="19" t="str">
        <f>IF(微程序地址入口表!N24=1,$J23&amp;"+","")</f>
        <v/>
      </c>
      <c r="O23" s="19" t="str">
        <f>IF(微程序地址入口表!O24=1,$J23&amp;"+","")</f>
        <v/>
      </c>
    </row>
    <row r="24" hidden="1" spans="1:15">
      <c r="A24" s="15" t="str">
        <f>IF(微程序地址入口表!A25&lt;&gt;"",IF(微程序地址入口表!A25=1,微程序地址入口表!A$2&amp;"&amp;",IF(微程序地址入口表!A25=0,"~"&amp;微程序地址入口表!A$2&amp;"&amp;","")),"")</f>
        <v/>
      </c>
      <c r="B24" s="16" t="str">
        <f>IF(微程序地址入口表!B25&lt;&gt;"",IF(微程序地址入口表!B25=1,微程序地址入口表!B$2&amp;"&amp;",IF(微程序地址入口表!B25=0,"~"&amp;微程序地址入口表!B$2&amp;"&amp;","")),"")</f>
        <v/>
      </c>
      <c r="C24" s="16" t="str">
        <f>IF(微程序地址入口表!C25&lt;&gt;"",IF(微程序地址入口表!C25=1,微程序地址入口表!C$2&amp;"&amp;",IF(微程序地址入口表!C25=0,"~"&amp;微程序地址入口表!C$2&amp;"&amp;","")),"")</f>
        <v/>
      </c>
      <c r="D24" s="16" t="str">
        <f>IF(微程序地址入口表!D25&lt;&gt;"",IF(微程序地址入口表!D25=1,微程序地址入口表!D$2&amp;"&amp;",IF(微程序地址入口表!D25=0,"~"&amp;微程序地址入口表!D$2&amp;"&amp;","")),"")</f>
        <v/>
      </c>
      <c r="E24" s="16" t="str">
        <f>IF(微程序地址入口表!E25&lt;&gt;"",IF(微程序地址入口表!E25=1,微程序地址入口表!E$2&amp;"&amp;",IF(微程序地址入口表!E25=0,"~"&amp;微程序地址入口表!E$2&amp;"&amp;","")),"")</f>
        <v/>
      </c>
      <c r="F24" s="16" t="str">
        <f>IF(微程序地址入口表!F25&lt;&gt;"",IF(微程序地址入口表!F25=1,微程序地址入口表!F$2&amp;"&amp;",IF(微程序地址入口表!F25=0,"~"&amp;微程序地址入口表!F$2&amp;"&amp;","")),"")</f>
        <v/>
      </c>
      <c r="G24" s="16" t="str">
        <f>IF(微程序地址入口表!G25&lt;&gt;"",IF(微程序地址入口表!G25=1,微程序地址入口表!G$2&amp;"&amp;",IF(微程序地址入口表!G25=0,"~"&amp;微程序地址入口表!G$2&amp;"&amp;","")),"")</f>
        <v/>
      </c>
      <c r="H24" s="17" t="str">
        <f>IF(微程序地址入口表!H25&lt;&gt;"",IF(微程序地址入口表!H25=1,微程序地址入口表!H$2&amp;"&amp;",IF(微程序地址入口表!H25=0,"~"&amp;微程序地址入口表!H$2&amp;"&amp;","")),"")</f>
        <v/>
      </c>
      <c r="I24" s="18"/>
      <c r="J24" s="13" t="str">
        <f t="shared" si="0"/>
        <v/>
      </c>
      <c r="K24" s="19" t="str">
        <f>IF(微程序地址入口表!K25=1,$J24&amp;"+","")</f>
        <v/>
      </c>
      <c r="L24" s="14" t="str">
        <f>IF(微程序地址入口表!L25=1,$J24&amp;"+","")</f>
        <v/>
      </c>
      <c r="M24" s="19" t="str">
        <f>IF(微程序地址入口表!M25=1,$J24&amp;"+","")</f>
        <v/>
      </c>
      <c r="N24" s="19" t="str">
        <f>IF(微程序地址入口表!N25=1,$J24&amp;"+","")</f>
        <v/>
      </c>
      <c r="O24" s="19" t="str">
        <f>IF(微程序地址入口表!O25=1,$J24&amp;"+","")</f>
        <v/>
      </c>
    </row>
    <row r="25" hidden="1" spans="1:15">
      <c r="A25" s="15" t="str">
        <f>IF(微程序地址入口表!A26&lt;&gt;"",IF(微程序地址入口表!A26=1,微程序地址入口表!A$2&amp;"&amp;",IF(微程序地址入口表!A26=0,"~"&amp;微程序地址入口表!A$2&amp;"&amp;","")),"")</f>
        <v/>
      </c>
      <c r="B25" s="16" t="str">
        <f>IF(微程序地址入口表!B26&lt;&gt;"",IF(微程序地址入口表!B26=1,微程序地址入口表!B$2&amp;"&amp;",IF(微程序地址入口表!B26=0,"~"&amp;微程序地址入口表!B$2&amp;"&amp;","")),"")</f>
        <v/>
      </c>
      <c r="C25" s="16" t="str">
        <f>IF(微程序地址入口表!C26&lt;&gt;"",IF(微程序地址入口表!C26=1,微程序地址入口表!C$2&amp;"&amp;",IF(微程序地址入口表!C26=0,"~"&amp;微程序地址入口表!C$2&amp;"&amp;","")),"")</f>
        <v/>
      </c>
      <c r="D25" s="16" t="str">
        <f>IF(微程序地址入口表!D26&lt;&gt;"",IF(微程序地址入口表!D26=1,微程序地址入口表!D$2&amp;"&amp;",IF(微程序地址入口表!D26=0,"~"&amp;微程序地址入口表!D$2&amp;"&amp;","")),"")</f>
        <v/>
      </c>
      <c r="E25" s="16" t="str">
        <f>IF(微程序地址入口表!E26&lt;&gt;"",IF(微程序地址入口表!E26=1,微程序地址入口表!E$2&amp;"&amp;",IF(微程序地址入口表!E26=0,"~"&amp;微程序地址入口表!E$2&amp;"&amp;","")),"")</f>
        <v/>
      </c>
      <c r="F25" s="16" t="str">
        <f>IF(微程序地址入口表!F26&lt;&gt;"",IF(微程序地址入口表!F26=1,微程序地址入口表!F$2&amp;"&amp;",IF(微程序地址入口表!F26=0,"~"&amp;微程序地址入口表!F$2&amp;"&amp;","")),"")</f>
        <v/>
      </c>
      <c r="G25" s="16" t="str">
        <f>IF(微程序地址入口表!G26&lt;&gt;"",IF(微程序地址入口表!G26=1,微程序地址入口表!G$2&amp;"&amp;",IF(微程序地址入口表!G26=0,"~"&amp;微程序地址入口表!G$2&amp;"&amp;","")),"")</f>
        <v/>
      </c>
      <c r="H25" s="17" t="str">
        <f>IF(微程序地址入口表!H26&lt;&gt;"",IF(微程序地址入口表!H26=1,微程序地址入口表!H$2&amp;"&amp;",IF(微程序地址入口表!H26=0,"~"&amp;微程序地址入口表!H$2&amp;"&amp;","")),"")</f>
        <v/>
      </c>
      <c r="I25" s="18"/>
      <c r="J25" s="13" t="str">
        <f t="shared" si="0"/>
        <v/>
      </c>
      <c r="K25" s="19" t="str">
        <f>IF(微程序地址入口表!K26=1,$J25&amp;"+","")</f>
        <v/>
      </c>
      <c r="L25" s="14" t="str">
        <f>IF(微程序地址入口表!L26=1,$J25&amp;"+","")</f>
        <v/>
      </c>
      <c r="M25" s="19" t="str">
        <f>IF(微程序地址入口表!M26=1,$J25&amp;"+","")</f>
        <v/>
      </c>
      <c r="N25" s="19" t="str">
        <f>IF(微程序地址入口表!N26=1,$J25&amp;"+","")</f>
        <v/>
      </c>
      <c r="O25" s="19" t="str">
        <f>IF(微程序地址入口表!O26=1,$J25&amp;"+","")</f>
        <v/>
      </c>
    </row>
    <row r="26" hidden="1" spans="1:15">
      <c r="A26" s="15" t="str">
        <f>IF(微程序地址入口表!A27&lt;&gt;"",IF(微程序地址入口表!A27=1,微程序地址入口表!A$2&amp;"&amp;",IF(微程序地址入口表!A27=0,"~"&amp;微程序地址入口表!A$2&amp;"&amp;","")),"")</f>
        <v/>
      </c>
      <c r="B26" s="16" t="str">
        <f>IF(微程序地址入口表!B27&lt;&gt;"",IF(微程序地址入口表!B27=1,微程序地址入口表!B$2&amp;"&amp;",IF(微程序地址入口表!B27=0,"~"&amp;微程序地址入口表!B$2&amp;"&amp;","")),"")</f>
        <v/>
      </c>
      <c r="C26" s="16" t="str">
        <f>IF(微程序地址入口表!C27&lt;&gt;"",IF(微程序地址入口表!C27=1,微程序地址入口表!C$2&amp;"&amp;",IF(微程序地址入口表!C27=0,"~"&amp;微程序地址入口表!C$2&amp;"&amp;","")),"")</f>
        <v/>
      </c>
      <c r="D26" s="16" t="str">
        <f>IF(微程序地址入口表!D27&lt;&gt;"",IF(微程序地址入口表!D27=1,微程序地址入口表!D$2&amp;"&amp;",IF(微程序地址入口表!D27=0,"~"&amp;微程序地址入口表!D$2&amp;"&amp;","")),"")</f>
        <v/>
      </c>
      <c r="E26" s="16" t="str">
        <f>IF(微程序地址入口表!E27&lt;&gt;"",IF(微程序地址入口表!E27=1,微程序地址入口表!E$2&amp;"&amp;",IF(微程序地址入口表!E27=0,"~"&amp;微程序地址入口表!E$2&amp;"&amp;","")),"")</f>
        <v/>
      </c>
      <c r="F26" s="16" t="str">
        <f>IF(微程序地址入口表!F27&lt;&gt;"",IF(微程序地址入口表!F27=1,微程序地址入口表!F$2&amp;"&amp;",IF(微程序地址入口表!F27=0,"~"&amp;微程序地址入口表!F$2&amp;"&amp;","")),"")</f>
        <v/>
      </c>
      <c r="G26" s="16" t="str">
        <f>IF(微程序地址入口表!G27&lt;&gt;"",IF(微程序地址入口表!G27=1,微程序地址入口表!G$2&amp;"&amp;",IF(微程序地址入口表!G27=0,"~"&amp;微程序地址入口表!G$2&amp;"&amp;","")),"")</f>
        <v/>
      </c>
      <c r="H26" s="17" t="str">
        <f>IF(微程序地址入口表!H27&lt;&gt;"",IF(微程序地址入口表!H27=1,微程序地址入口表!H$2&amp;"&amp;",IF(微程序地址入口表!H27=0,"~"&amp;微程序地址入口表!H$2&amp;"&amp;","")),"")</f>
        <v/>
      </c>
      <c r="I26" s="18"/>
      <c r="J26" s="13" t="str">
        <f t="shared" si="0"/>
        <v/>
      </c>
      <c r="K26" s="19" t="str">
        <f>IF(微程序地址入口表!K27=1,$J26&amp;"+","")</f>
        <v/>
      </c>
      <c r="L26" s="14" t="str">
        <f>IF(微程序地址入口表!L27=1,$J26&amp;"+","")</f>
        <v/>
      </c>
      <c r="M26" s="19" t="str">
        <f>IF(微程序地址入口表!M27=1,$J26&amp;"+","")</f>
        <v/>
      </c>
      <c r="N26" s="19" t="str">
        <f>IF(微程序地址入口表!N27=1,$J26&amp;"+","")</f>
        <v/>
      </c>
      <c r="O26" s="19" t="str">
        <f>IF(微程序地址入口表!O27=1,$J26&amp;"+","")</f>
        <v/>
      </c>
    </row>
    <row r="27" hidden="1" spans="1:15">
      <c r="A27" s="15" t="str">
        <f>IF(微程序地址入口表!A28&lt;&gt;"",IF(微程序地址入口表!A28=1,微程序地址入口表!A$2&amp;"&amp;",IF(微程序地址入口表!A28=0,"~"&amp;微程序地址入口表!A$2&amp;"&amp;","")),"")</f>
        <v/>
      </c>
      <c r="B27" s="16" t="str">
        <f>IF(微程序地址入口表!B28&lt;&gt;"",IF(微程序地址入口表!B28=1,微程序地址入口表!B$2&amp;"&amp;",IF(微程序地址入口表!B28=0,"~"&amp;微程序地址入口表!B$2&amp;"&amp;","")),"")</f>
        <v/>
      </c>
      <c r="C27" s="16" t="str">
        <f>IF(微程序地址入口表!C28&lt;&gt;"",IF(微程序地址入口表!C28=1,微程序地址入口表!C$2&amp;"&amp;",IF(微程序地址入口表!C28=0,"~"&amp;微程序地址入口表!C$2&amp;"&amp;","")),"")</f>
        <v/>
      </c>
      <c r="D27" s="16" t="str">
        <f>IF(微程序地址入口表!D28&lt;&gt;"",IF(微程序地址入口表!D28=1,微程序地址入口表!D$2&amp;"&amp;",IF(微程序地址入口表!D28=0,"~"&amp;微程序地址入口表!D$2&amp;"&amp;","")),"")</f>
        <v/>
      </c>
      <c r="E27" s="16" t="str">
        <f>IF(微程序地址入口表!E28&lt;&gt;"",IF(微程序地址入口表!E28=1,微程序地址入口表!E$2&amp;"&amp;",IF(微程序地址入口表!E28=0,"~"&amp;微程序地址入口表!E$2&amp;"&amp;","")),"")</f>
        <v/>
      </c>
      <c r="F27" s="16" t="str">
        <f>IF(微程序地址入口表!F28&lt;&gt;"",IF(微程序地址入口表!F28=1,微程序地址入口表!F$2&amp;"&amp;",IF(微程序地址入口表!F28=0,"~"&amp;微程序地址入口表!F$2&amp;"&amp;","")),"")</f>
        <v/>
      </c>
      <c r="G27" s="16" t="str">
        <f>IF(微程序地址入口表!G28&lt;&gt;"",IF(微程序地址入口表!G28=1,微程序地址入口表!G$2&amp;"&amp;",IF(微程序地址入口表!G28=0,"~"&amp;微程序地址入口表!G$2&amp;"&amp;","")),"")</f>
        <v/>
      </c>
      <c r="H27" s="17" t="str">
        <f>IF(微程序地址入口表!H28&lt;&gt;"",IF(微程序地址入口表!H28=1,微程序地址入口表!H$2&amp;"&amp;",IF(微程序地址入口表!H28=0,"~"&amp;微程序地址入口表!H$2&amp;"&amp;","")),"")</f>
        <v/>
      </c>
      <c r="I27" s="18"/>
      <c r="J27" s="13" t="str">
        <f t="shared" si="0"/>
        <v/>
      </c>
      <c r="K27" s="19" t="str">
        <f>IF(微程序地址入口表!K28=1,$J27&amp;"+","")</f>
        <v/>
      </c>
      <c r="L27" s="14" t="str">
        <f>IF(微程序地址入口表!L28=1,$J27&amp;"+","")</f>
        <v/>
      </c>
      <c r="M27" s="19" t="str">
        <f>IF(微程序地址入口表!M28=1,$J27&amp;"+","")</f>
        <v/>
      </c>
      <c r="N27" s="19" t="str">
        <f>IF(微程序地址入口表!N28=1,$J27&amp;"+","")</f>
        <v/>
      </c>
      <c r="O27" s="19" t="str">
        <f>IF(微程序地址入口表!O28=1,$J27&amp;"+","")</f>
        <v/>
      </c>
    </row>
    <row r="28" hidden="1" spans="1:15">
      <c r="A28" s="15" t="str">
        <f>IF(微程序地址入口表!A29&lt;&gt;"",IF(微程序地址入口表!A29=1,微程序地址入口表!A$2&amp;"&amp;",IF(微程序地址入口表!A29=0,"~"&amp;微程序地址入口表!A$2&amp;"&amp;","")),"")</f>
        <v/>
      </c>
      <c r="B28" s="16" t="str">
        <f>IF(微程序地址入口表!B29&lt;&gt;"",IF(微程序地址入口表!B29=1,微程序地址入口表!B$2&amp;"&amp;",IF(微程序地址入口表!B29=0,"~"&amp;微程序地址入口表!B$2&amp;"&amp;","")),"")</f>
        <v/>
      </c>
      <c r="C28" s="16" t="str">
        <f>IF(微程序地址入口表!C29&lt;&gt;"",IF(微程序地址入口表!C29=1,微程序地址入口表!C$2&amp;"&amp;",IF(微程序地址入口表!C29=0,"~"&amp;微程序地址入口表!C$2&amp;"&amp;","")),"")</f>
        <v/>
      </c>
      <c r="D28" s="16" t="str">
        <f>IF(微程序地址入口表!D29&lt;&gt;"",IF(微程序地址入口表!D29=1,微程序地址入口表!D$2&amp;"&amp;",IF(微程序地址入口表!D29=0,"~"&amp;微程序地址入口表!D$2&amp;"&amp;","")),"")</f>
        <v/>
      </c>
      <c r="E28" s="16" t="str">
        <f>IF(微程序地址入口表!E29&lt;&gt;"",IF(微程序地址入口表!E29=1,微程序地址入口表!E$2&amp;"&amp;",IF(微程序地址入口表!E29=0,"~"&amp;微程序地址入口表!E$2&amp;"&amp;","")),"")</f>
        <v/>
      </c>
      <c r="F28" s="16" t="str">
        <f>IF(微程序地址入口表!F29&lt;&gt;"",IF(微程序地址入口表!F29=1,微程序地址入口表!F$2&amp;"&amp;",IF(微程序地址入口表!F29=0,"~"&amp;微程序地址入口表!F$2&amp;"&amp;","")),"")</f>
        <v/>
      </c>
      <c r="G28" s="16" t="str">
        <f>IF(微程序地址入口表!G29&lt;&gt;"",IF(微程序地址入口表!G29=1,微程序地址入口表!G$2&amp;"&amp;",IF(微程序地址入口表!G29=0,"~"&amp;微程序地址入口表!G$2&amp;"&amp;","")),"")</f>
        <v/>
      </c>
      <c r="H28" s="17" t="str">
        <f>IF(微程序地址入口表!H29&lt;&gt;"",IF(微程序地址入口表!H29=1,微程序地址入口表!H$2&amp;"&amp;",IF(微程序地址入口表!H29=0,"~"&amp;微程序地址入口表!H$2&amp;"&amp;","")),"")</f>
        <v/>
      </c>
      <c r="I28" s="18"/>
      <c r="J28" s="13" t="str">
        <f t="shared" si="0"/>
        <v/>
      </c>
      <c r="K28" s="19" t="str">
        <f>IF(微程序地址入口表!K29=1,$J28&amp;"+","")</f>
        <v/>
      </c>
      <c r="L28" s="14" t="str">
        <f>IF(微程序地址入口表!L29=1,$J28&amp;"+","")</f>
        <v/>
      </c>
      <c r="M28" s="19" t="str">
        <f>IF(微程序地址入口表!M29=1,$J28&amp;"+","")</f>
        <v/>
      </c>
      <c r="N28" s="19" t="str">
        <f>IF(微程序地址入口表!N29=1,$J28&amp;"+","")</f>
        <v/>
      </c>
      <c r="O28" s="19" t="str">
        <f>IF(微程序地址入口表!O29=1,$J28&amp;"+","")</f>
        <v/>
      </c>
    </row>
    <row r="29" hidden="1" spans="1:15">
      <c r="A29" s="15" t="str">
        <f>IF(微程序地址入口表!A30&lt;&gt;"",IF(微程序地址入口表!A30=1,微程序地址入口表!A$2&amp;"&amp;",IF(微程序地址入口表!A30=0,"~"&amp;微程序地址入口表!A$2&amp;"&amp;","")),"")</f>
        <v/>
      </c>
      <c r="B29" s="16" t="str">
        <f>IF(微程序地址入口表!B30&lt;&gt;"",IF(微程序地址入口表!B30=1,微程序地址入口表!B$2&amp;"&amp;",IF(微程序地址入口表!B30=0,"~"&amp;微程序地址入口表!B$2&amp;"&amp;","")),"")</f>
        <v/>
      </c>
      <c r="C29" s="16" t="str">
        <f>IF(微程序地址入口表!C30&lt;&gt;"",IF(微程序地址入口表!C30=1,微程序地址入口表!C$2&amp;"&amp;",IF(微程序地址入口表!C30=0,"~"&amp;微程序地址入口表!C$2&amp;"&amp;","")),"")</f>
        <v/>
      </c>
      <c r="D29" s="16" t="str">
        <f>IF(微程序地址入口表!D30&lt;&gt;"",IF(微程序地址入口表!D30=1,微程序地址入口表!D$2&amp;"&amp;",IF(微程序地址入口表!D30=0,"~"&amp;微程序地址入口表!D$2&amp;"&amp;","")),"")</f>
        <v/>
      </c>
      <c r="E29" s="16" t="str">
        <f>IF(微程序地址入口表!E30&lt;&gt;"",IF(微程序地址入口表!E30=1,微程序地址入口表!E$2&amp;"&amp;",IF(微程序地址入口表!E30=0,"~"&amp;微程序地址入口表!E$2&amp;"&amp;","")),"")</f>
        <v/>
      </c>
      <c r="F29" s="16" t="str">
        <f>IF(微程序地址入口表!F30&lt;&gt;"",IF(微程序地址入口表!F30=1,微程序地址入口表!F$2&amp;"&amp;",IF(微程序地址入口表!F30=0,"~"&amp;微程序地址入口表!F$2&amp;"&amp;","")),"")</f>
        <v/>
      </c>
      <c r="G29" s="16" t="str">
        <f>IF(微程序地址入口表!G30&lt;&gt;"",IF(微程序地址入口表!G30=1,微程序地址入口表!G$2&amp;"&amp;",IF(微程序地址入口表!G30=0,"~"&amp;微程序地址入口表!G$2&amp;"&amp;","")),"")</f>
        <v/>
      </c>
      <c r="H29" s="17" t="str">
        <f>IF(微程序地址入口表!H30&lt;&gt;"",IF(微程序地址入口表!H30=1,微程序地址入口表!H$2&amp;"&amp;",IF(微程序地址入口表!H30=0,"~"&amp;微程序地址入口表!H$2&amp;"&amp;","")),"")</f>
        <v/>
      </c>
      <c r="I29" s="18"/>
      <c r="J29" s="13" t="str">
        <f t="shared" si="0"/>
        <v/>
      </c>
      <c r="K29" s="19" t="str">
        <f>IF(微程序地址入口表!K30=1,$J29&amp;"+","")</f>
        <v/>
      </c>
      <c r="L29" s="14" t="str">
        <f>IF(微程序地址入口表!L30=1,$J29&amp;"+","")</f>
        <v/>
      </c>
      <c r="M29" s="19" t="str">
        <f>IF(微程序地址入口表!M30=1,$J29&amp;"+","")</f>
        <v/>
      </c>
      <c r="N29" s="19" t="str">
        <f>IF(微程序地址入口表!N30=1,$J29&amp;"+","")</f>
        <v/>
      </c>
      <c r="O29" s="19" t="str">
        <f>IF(微程序地址入口表!O30=1,$J29&amp;"+","")</f>
        <v/>
      </c>
    </row>
    <row r="30" ht="14.75" hidden="1" spans="1:15">
      <c r="A30" s="15" t="str">
        <f>IF(微程序地址入口表!A31&lt;&gt;"",IF(微程序地址入口表!A31=1,微程序地址入口表!A$2&amp;"&amp;",IF(微程序地址入口表!A31=0,"~"&amp;微程序地址入口表!A$2&amp;"&amp;","")),"")</f>
        <v/>
      </c>
      <c r="B30" s="16" t="str">
        <f>IF(微程序地址入口表!B31&lt;&gt;"",IF(微程序地址入口表!B31=1,微程序地址入口表!B$2&amp;"&amp;",IF(微程序地址入口表!B31=0,"~"&amp;微程序地址入口表!B$2&amp;"&amp;","")),"")</f>
        <v/>
      </c>
      <c r="C30" s="16" t="str">
        <f>IF(微程序地址入口表!C31&lt;&gt;"",IF(微程序地址入口表!C31=1,微程序地址入口表!C$2&amp;"&amp;",IF(微程序地址入口表!C31=0,"~"&amp;微程序地址入口表!C$2&amp;"&amp;","")),"")</f>
        <v/>
      </c>
      <c r="D30" s="16" t="str">
        <f>IF(微程序地址入口表!D31&lt;&gt;"",IF(微程序地址入口表!D31=1,微程序地址入口表!D$2&amp;"&amp;",IF(微程序地址入口表!D31=0,"~"&amp;微程序地址入口表!D$2&amp;"&amp;","")),"")</f>
        <v/>
      </c>
      <c r="E30" s="16" t="str">
        <f>IF(微程序地址入口表!E31&lt;&gt;"",IF(微程序地址入口表!E31=1,微程序地址入口表!E$2&amp;"&amp;",IF(微程序地址入口表!E31=0,"~"&amp;微程序地址入口表!E$2&amp;"&amp;","")),"")</f>
        <v/>
      </c>
      <c r="F30" s="16" t="str">
        <f>IF(微程序地址入口表!F31&lt;&gt;"",IF(微程序地址入口表!F31=1,微程序地址入口表!F$2&amp;"&amp;",IF(微程序地址入口表!F31=0,"~"&amp;微程序地址入口表!F$2&amp;"&amp;","")),"")</f>
        <v/>
      </c>
      <c r="G30" s="16" t="str">
        <f>IF(微程序地址入口表!G31&lt;&gt;"",IF(微程序地址入口表!G31=1,微程序地址入口表!G$2&amp;"&amp;",IF(微程序地址入口表!G31=0,"~"&amp;微程序地址入口表!G$2&amp;"&amp;","")),"")</f>
        <v/>
      </c>
      <c r="H30" s="17" t="str">
        <f>IF(微程序地址入口表!H31&lt;&gt;"",IF(微程序地址入口表!H31=1,微程序地址入口表!H$2&amp;"&amp;",IF(微程序地址入口表!H31=0,"~"&amp;微程序地址入口表!H$2&amp;"&amp;","")),"")</f>
        <v/>
      </c>
      <c r="I30" s="18"/>
      <c r="J30" s="13" t="str">
        <f t="shared" si="0"/>
        <v/>
      </c>
      <c r="K30" s="20" t="str">
        <f>IF(微程序地址入口表!K31=1,$J30&amp;"+","")</f>
        <v/>
      </c>
      <c r="L30" s="14" t="str">
        <f>IF(微程序地址入口表!L31=1,$J30&amp;"+","")</f>
        <v/>
      </c>
      <c r="M30" s="20" t="str">
        <f>IF(微程序地址入口表!M31=1,$J30&amp;"+","")</f>
        <v/>
      </c>
      <c r="N30" s="20" t="str">
        <f>IF(微程序地址入口表!N31=1,$J30&amp;"+","")</f>
        <v/>
      </c>
      <c r="O30" s="20" t="str">
        <f>IF(微程序地址入口表!O31=1,$J30&amp;"+","")</f>
        <v/>
      </c>
    </row>
    <row r="31" ht="17.25" spans="1:15">
      <c r="A31" s="21"/>
      <c r="B31" s="21"/>
      <c r="C31" s="21"/>
      <c r="D31" s="21"/>
      <c r="E31" s="21"/>
      <c r="F31" s="21"/>
      <c r="G31" s="21"/>
      <c r="H31" s="21"/>
      <c r="I31" s="21"/>
      <c r="J31" s="22"/>
      <c r="K31" s="23" t="str">
        <f>IF(LEN(K32)&gt;1,LEFT(K32,LEN(K32)-1),"")</f>
        <v>SLT+ADDI+ADD</v>
      </c>
      <c r="L31" s="23" t="str">
        <f>IF(LEN(L32)&gt;1,LEFT(L32,LEN(L32)-1),"")</f>
        <v>SW+BEQ+ADD</v>
      </c>
      <c r="M31" s="23" t="str">
        <f t="shared" ref="L31:O31" si="1">IF(LEN(M32)&gt;1,LEFT(M32,LEN(M32)-1),"")</f>
        <v>LW+BEQ+ADDI</v>
      </c>
      <c r="N31" s="23" t="str">
        <f t="shared" si="1"/>
        <v>BEQ+SLT+ADDI</v>
      </c>
      <c r="O31" s="23" t="str">
        <f t="shared" si="1"/>
        <v>SW+SLT+ADD</v>
      </c>
    </row>
    <row r="32" ht="17.25" hidden="1" customHeight="1" spans="1:15">
      <c r="A32" s="24"/>
      <c r="B32" s="24"/>
      <c r="C32" s="24"/>
      <c r="D32" s="24"/>
      <c r="E32" s="24"/>
      <c r="F32" s="24"/>
      <c r="G32" s="24"/>
      <c r="H32" s="24"/>
      <c r="I32" s="24"/>
      <c r="J32" s="25"/>
      <c r="K32" s="26" t="str">
        <f>CONCATENATE(K2,K3,K4,K5,K6,K7,K8,K9,K10,K11,K12,K13,K14,K15,K16,K17,K18,K19,K20,K21,K22,K23,K24,K25,K26,K27,K28,K29,K30)</f>
        <v>SLT+ADDI+ADD+</v>
      </c>
      <c r="L32" s="26" t="str">
        <f t="shared" ref="L32:O32" si="2">CONCATENATE(L2,L3,L4,L5,L6,L7,L8,L9,L10,L11,L12,L13,L14,L15,L16,L17,L18,L19,L20,L21,L22,L23,L24,L25,L26,L27,L28,L29,L30)</f>
        <v>SW+BEQ+ADD+</v>
      </c>
      <c r="M32" s="26" t="str">
        <f t="shared" si="2"/>
        <v>LW+BEQ+ADDI+</v>
      </c>
      <c r="N32" s="26" t="str">
        <f t="shared" si="2"/>
        <v>BEQ+SLT+ADDI+</v>
      </c>
      <c r="O32" s="26" t="str">
        <f t="shared" si="2"/>
        <v>SW+SLT+ADD+</v>
      </c>
    </row>
    <row r="33" hidden="1"/>
    <row r="35" ht="16.5" spans="1:13">
      <c r="A35" s="27"/>
      <c r="B35" s="27"/>
      <c r="J35" s="28"/>
    </row>
    <row r="36" ht="16.5" spans="1:13">
      <c r="M36" s="27"/>
    </row>
  </sheetData>
  <mergeCells count="1">
    <mergeCell ref="A31:J31"/>
  </mergeCells>
  <conditionalFormatting sqref="K31:O31">
    <cfRule type="containsBlanks" dxfId="3" priority="31">
      <formula>LEN(TRIM(K31))=0</formula>
    </cfRule>
  </conditionalFormatting>
  <conditionalFormatting sqref="K2:O30">
    <cfRule type="containsText" dxfId="2" priority="30" operator="between" text="1">
      <formula>NOT(ISERROR(SEARCH("1",K2)))</formula>
    </cfRule>
  </conditionalFormatting>
  <dataValidations count="3">
    <dataValidation allowBlank="1" showInputMessage="1" showErrorMessage="1" promptTitle="次态状态位表达式" prompt="次态状态位逻辑表达式，复制到Logisim即可" sqref="K31:O31"/>
    <dataValidation allowBlank="1" showInputMessage="1" showErrorMessage="1" promptTitle="次态状态位" prompt="次态状态位逻辑表达式生成" sqref="K32:O34 K35:N36 K37:O1048576"/>
    <dataValidation allowBlank="1" showInputMessage="1" showErrorMessage="1" promptTitle="次态状态位" prompt="次态状态位生成条件最小项" sqref="K1:O30"/>
  </dataValidations>
  <pageMargins left="0.7" right="0.7" top="0.75" bottom="0.75" header="0.3" footer="0.3"/>
  <pageSetup paperSize="9" orientation="portrait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微程序地址入口表</vt:lpstr>
      <vt:lpstr>微程序入口查找逻辑自动生成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WPS_1601472217</cp:lastModifiedBy>
  <dcterms:created xsi:type="dcterms:W3CDTF">2018-06-11T03:29:00Z</dcterms:created>
  <cp:lastPrinted>2019-03-05T06:30:00Z</cp:lastPrinted>
  <dcterms:modified xsi:type="dcterms:W3CDTF">2026-05-30T11:40:34Z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F61E9FBA1401427EB961FF30F58C1109_12</vt:lpwstr>
  </property>
  <property fmtid="{D5CDD505-2E9C-101B-9397-08002B2CF9AE}" pid="4" name="CalculationRule">
    <vt:i4>0</vt:i4>
  </property>
</Properties>
</file>